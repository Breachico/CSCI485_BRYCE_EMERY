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7180" windowHeight="11730"/>
  </bookViews>
  <sheets>
    <sheet name="Sheet1" sheetId="1" r:id="rId1"/>
  </sheets>
  <definedNames>
    <definedName name="_xlnm.Sheet_Title" localSheetId="0">"Sheet1"</definedName>
    <definedName name="_xlnm.Print_Area" localSheetId="0">#REF!</definedName>
  </definedNames>
  <calcPr calcMode="auto" iterate="1" iterateCount="100" iterateDelta="0.001"/>
  <webPublishing allowPng="1" css="0" codePage="1252"/>
</workbook>
</file>

<file path=xl/sharedStrings.xml><?xml version="1.0" encoding="utf-8"?>
<sst xmlns="http://schemas.openxmlformats.org/spreadsheetml/2006/main" uniqueCount="29" count="29">
  <si>
    <t>Sunny</t>
  </si>
  <si>
    <t>Cloudy</t>
  </si>
  <si>
    <t>Rainy</t>
  </si>
  <si>
    <t>Walk</t>
  </si>
  <si>
    <t>Umbrella</t>
  </si>
  <si>
    <t>Day</t>
  </si>
  <si>
    <t>P(W|?)</t>
  </si>
  <si>
    <t>Yes</t>
  </si>
  <si>
    <t>Churn (Y)</t>
  </si>
  <si>
    <r>
      <rPr/>
      <t>X</t>
    </r>
    <r>
      <rPr>
        <vertAlign val="subscript"/>
      </rPr>
      <t>1</t>
    </r>
    <r>
      <rPr/>
      <t> = 1</t>
    </r>
    <r>
      <rPr/>
      <t/>
    </r>
  </si>
  <si>
    <r>
      <rPr/>
      <t>X</t>
    </r>
    <r>
      <rPr>
        <vertAlign val="subscript"/>
      </rPr>
      <t>1</t>
    </r>
    <r>
      <rPr/>
      <t> = 0</t>
    </r>
    <r>
      <rPr/>
      <t/>
    </r>
  </si>
  <si>
    <t>Total</t>
  </si>
  <si>
    <t>Y = 1</t>
  </si>
  <si>
    <t>It was Sunny.</t>
  </si>
  <si>
    <t>Y = 0</t>
  </si>
  <si>
    <t>Laplace Smoothed</t>
  </si>
  <si>
    <t>alpha =</t>
  </si>
  <si>
    <t>Laplace Smoothed </t>
  </si>
  <si>
    <t>alpha = </t>
  </si>
  <si>
    <t>It was Cloudy.</t>
  </si>
  <si>
    <t>Normalized:</t>
  </si>
  <si>
    <r>
      <rPr>
        <color rgb="ff3366ff"/>
      </rPr>
      <t>Question A3 - Prediction</t>
    </r>
    <r>
      <rPr/>
      <t/>
    </r>
  </si>
  <si>
    <t>1. Does the model predict churn or no churn?</t>
  </si>
  <si>
    <t>It was Rainy.</t>
  </si>
  <si>
    <t>2. What is the predicted probability?</t>
  </si>
  <si>
    <t>No</t>
  </si>
  <si>
    <r>
      <rPr/>
      <t>Z</t>
    </r>
    <r>
      <rPr>
        <vertAlign val="subscript"/>
      </rPr>
      <t>1</t>
    </r>
    <r>
      <rPr/>
      <t> = 1</t>
    </r>
    <r>
      <rPr/>
      <t/>
    </r>
  </si>
  <si>
    <r>
      <rPr/>
      <t>Z</t>
    </r>
    <r>
      <rPr>
        <vertAlign val="subscript"/>
      </rPr>
      <t>1</t>
    </r>
    <r>
      <rPr/>
      <t> = 0</t>
    </r>
    <r>
      <rPr/>
      <t/>
    </r>
  </si>
  <si>
    <t>The most likely Day 8 to cause this was...</t>
  </si>
</sst>
</file>

<file path=xl/styles.xml><?xml version="1.0" encoding="utf-8"?>
<styleSheet xmlns="http://schemas.openxmlformats.org/spreadsheetml/2006/main">
  <fonts count="3">
    <font>
      <b val="0"/>
      <i val="0"/>
      <u val="none"/>
      <color rgb="FF000000"/>
      <name val="Monospace"/>
      <vertAlign val="baseline"/>
      <sz val="10"/>
      <strike val="0"/>
    </font>
    <font>
      <b val="0"/>
      <i val="1"/>
      <u val="none"/>
      <color rgb="FF000000"/>
      <name val="Monospace"/>
      <vertAlign val="baseline"/>
      <sz val="10"/>
      <strike val="0"/>
    </font>
    <font>
      <b val="0"/>
      <i val="0"/>
      <u val="none"/>
      <color rgb="FF000000"/>
      <name val="Monospace"/>
      <vertAlign val="subscript"/>
      <sz val="10"/>
      <strike val="0"/>
    </font>
  </fonts>
  <fills count="10">
    <fill>
      <patternFill patternType="none"/>
    </fill>
    <fill>
      <patternFill patternType="gray125"/>
    </fill>
    <fill>
      <patternFill patternType="solid">
        <fgColor rgb="FF00FF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990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99CC00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0000"/>
        <bgColor rgb="FF000000"/>
      </patternFill>
    </fill>
  </fills>
  <borders count="44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  <border diagonalUp="0" diagonalDown="0">
      <left style="none">
        <color rgb="FFC7C7C7"/>
      </left>
      <right style="thin">
        <color rgb="FF000000"/>
      </right>
      <top style="thin">
        <color rgb="FF000000"/>
      </top>
      <bottom style="none">
        <color rgb="FFC7C7C7"/>
      </bottom>
    </border>
    <border diagonalUp="0" diagonalDown="0">
      <left style="none">
        <color rgb="FFC7C7C7"/>
      </left>
      <right style="thin">
        <color rgb="FF000000"/>
      </right>
      <top style="none">
        <color rgb="FFC7C7C7"/>
      </top>
      <bottom style="none">
        <color rgb="FFC7C7C7"/>
      </bottom>
    </border>
    <border diagonalUp="0" diagonalDown="0">
      <left style="none">
        <color rgb="FFC7C7C7"/>
      </left>
      <right style="thin">
        <color rgb="FF000000"/>
      </right>
      <top style="none">
        <color rgb="FFC7C7C7"/>
      </top>
      <bottom style="double">
        <color rgb="FF000000"/>
      </bottom>
    </border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double">
        <color rgb="FF000000"/>
      </bottom>
    </border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thin">
        <color rgb="FF000000"/>
      </bottom>
    </border>
    <border diagonalUp="0" diagonalDown="0">
      <left style="none">
        <color rgb="FFC7C7C7"/>
      </left>
      <right style="thin">
        <color rgb="FF000000"/>
      </right>
      <top style="none">
        <color rgb="FFC7C7C7"/>
      </top>
      <bottom style="thin">
        <color rgb="FF000000"/>
      </bottom>
    </border>
    <border diagonalUp="0" diagonalDown="0">
      <left style="thin">
        <color rgb="FF000000"/>
      </left>
      <right style="none">
        <color rgb="FFC7C7C7"/>
      </right>
      <top style="thin">
        <color rgb="FF000000"/>
      </top>
      <bottom style="none">
        <color rgb="FFC7C7C7"/>
      </bottom>
    </border>
    <border diagonalUp="0" diagonalDown="0">
      <left style="thin">
        <color rgb="FF000000"/>
      </left>
      <right style="none">
        <color rgb="FFC7C7C7"/>
      </right>
      <top style="thin">
        <color rgb="FF000000"/>
      </top>
      <bottom style="double">
        <color rgb="FF000000"/>
      </bottom>
    </border>
    <border diagonalUp="0" diagonalDown="0"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 diagonalUp="0" diagonalDown="0">
      <left style="none">
        <color rgb="FFC7C7C7"/>
      </left>
      <right style="none">
        <color rgb="FFC7C7C7"/>
      </right>
      <top style="thin">
        <color rgb="FF000000"/>
      </top>
      <bottom style="double">
        <color rgb="FF000000"/>
      </bottom>
    </border>
    <border diagonalUp="0" diagonalDown="0">
      <left style="thin">
        <color rgb="FF000000"/>
      </left>
      <right style="thin">
        <color rgb="FF000000"/>
      </right>
      <top style="thin">
        <color rgb="FF000000"/>
      </top>
      <bottom style="none">
        <color rgb="FFC7C7C7"/>
      </bottom>
    </border>
    <border diagonalUp="0" diagonalDown="0">
      <left style="thin">
        <color rgb="FF000000"/>
      </left>
      <right style="none">
        <color rgb="FFC7C7C7"/>
      </right>
      <top style="none">
        <color rgb="FFC7C7C7"/>
      </top>
      <bottom style="none">
        <color rgb="FFC7C7C7"/>
      </bottom>
    </border>
    <border diagonalUp="0" diagonalDown="0">
      <left style="thin">
        <color rgb="FF000000"/>
      </left>
      <right style="thin">
        <color rgb="FF000000"/>
      </right>
      <top style="none">
        <color rgb="FFC7C7C7"/>
      </top>
      <bottom style="none">
        <color rgb="FFC7C7C7"/>
      </bottom>
    </border>
    <border diagonalUp="0" diagonalDown="0">
      <left style="thin">
        <color rgb="FF000000"/>
      </left>
      <right style="none">
        <color rgb="FFC7C7C7"/>
      </right>
      <top style="none">
        <color rgb="FFC7C7C7"/>
      </top>
      <bottom style="thin">
        <color rgb="FF000000"/>
      </bottom>
    </border>
    <border diagonalUp="0" diagonalDown="0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 diagonalUp="0" diagonalDown="0">
      <left style="none">
        <color rgb="FFC7C7C7"/>
      </left>
      <right style="none">
        <color rgb="FFC7C7C7"/>
      </right>
      <top style="thin">
        <color rgb="FF000000"/>
      </top>
      <bottom style="none">
        <color rgb="FFC7C7C7"/>
      </bottom>
    </border>
    <border diagonalUp="0" diagonalDown="0">
      <left style="thin">
        <color rgb="FF000000"/>
      </left>
      <right style="none">
        <color rgb="FFC7C7C7"/>
      </right>
      <top style="thin">
        <color rgb="FF000000"/>
      </top>
      <bottom style="thin">
        <color rgb="FF000000"/>
      </bottom>
    </border>
    <border diagonalUp="0" diagonalDown="0">
      <left style="none">
        <color rgb="FFC7C7C7"/>
      </left>
      <right style="none">
        <color rgb="FFC7C7C7"/>
      </right>
      <top style="thin">
        <color rgb="FF000000"/>
      </top>
      <bottom style="thin">
        <color rgb="FF000000"/>
      </bottom>
    </border>
    <border diagonalUp="0" diagonalDown="0"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 diagonalUp="0" diagonalDown="0">
      <left style="none">
        <color rgb="FFC7C7C7"/>
      </left>
      <right style="none">
        <color rgb="FFC7C7C7"/>
      </right>
      <top style="thin">
        <color rgb="FF000000"/>
      </top>
      <bottom style="double">
        <color rgb="FF000000"/>
      </bottom>
    </border>
    <border diagonalUp="0" diagonalDown="0">
      <left style="thin">
        <color rgb="FF000000"/>
      </left>
      <right style="none">
        <color rgb="FFC7C7C7"/>
      </right>
      <top style="thin">
        <color rgb="FF000000"/>
      </top>
      <bottom style="double">
        <color rgb="FF000000"/>
      </bottom>
    </border>
    <border diagonalUp="0" diagonalDown="0"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 diagonalUp="0" diagonalDown="0">
      <left style="thin">
        <color rgb="FF000000"/>
      </left>
      <right style="none">
        <color rgb="FFC7C7C7"/>
      </right>
      <top style="none">
        <color rgb="FFC7C7C7"/>
      </top>
      <bottom style="none">
        <color rgb="FFC7C7C7"/>
      </bottom>
    </border>
    <border diagonalUp="0" diagonalDown="0">
      <left style="thin">
        <color rgb="FF000000"/>
      </left>
      <right style="thin">
        <color rgb="FF000000"/>
      </right>
      <top style="none">
        <color rgb="FFC7C7C7"/>
      </top>
      <bottom style="none">
        <color rgb="FFC7C7C7"/>
      </bottom>
    </border>
    <border diagonalUp="0" diagonalDown="0">
      <left style="none">
        <color rgb="FFC7C7C7"/>
      </left>
      <right style="none">
        <color rgb="FFC7C7C7"/>
      </right>
      <top style="thin">
        <color rgb="FF000000"/>
      </top>
      <bottom style="none">
        <color rgb="FFC7C7C7"/>
      </bottom>
    </border>
    <border diagonalUp="0" diagonalDown="0">
      <left style="thin">
        <color rgb="FF000000"/>
      </left>
      <right style="none">
        <color rgb="FFC7C7C7"/>
      </right>
      <top style="thin">
        <color rgb="FF000000"/>
      </top>
      <bottom style="none">
        <color rgb="FFC7C7C7"/>
      </bottom>
    </border>
    <border diagonalUp="0" diagonalDown="0">
      <left style="thin">
        <color rgb="FF000000"/>
      </left>
      <right style="thin">
        <color rgb="FF000000"/>
      </right>
      <top style="thin">
        <color rgb="FF000000"/>
      </top>
      <bottom style="none">
        <color rgb="FFC7C7C7"/>
      </bottom>
    </border>
    <border diagonalUp="0" diagonalDown="0">
      <left style="thin">
        <color rgb="FF000000"/>
      </left>
      <right style="none">
        <color rgb="FFC7C7C7"/>
      </right>
      <top style="thin">
        <color rgb="FF000000"/>
      </top>
      <bottom style="thin">
        <color rgb="FF000000"/>
      </bottom>
    </border>
    <border diagonalUp="0" diagonalDown="0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 diagonalUp="0" diagonalDown="0">
      <left style="thin">
        <color rgb="FF000000"/>
      </left>
      <right style="thin">
        <color rgb="FF000000"/>
      </right>
      <top style="none">
        <color rgb="FFC7C7C7"/>
      </top>
      <bottom style="thin">
        <color rgb="FF000000"/>
      </bottom>
    </border>
    <border diagonalUp="0" diagonalDown="0">
      <left style="none">
        <color rgb="FFC7C7C7"/>
      </left>
      <right style="thin">
        <color rgb="FF000000"/>
      </right>
      <top style="thin">
        <color rgb="FF000000"/>
      </top>
      <bottom style="double">
        <color rgb="FF000000"/>
      </bottom>
    </border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thin">
        <color rgb="FF000000"/>
      </bottom>
    </border>
    <border diagonalUp="0" diagonalDown="0">
      <left style="none">
        <color rgb="FFC7C7C7"/>
      </left>
      <right style="thin">
        <color rgb="FF000000"/>
      </right>
      <top style="none">
        <color rgb="FFC7C7C7"/>
      </top>
      <bottom style="thin">
        <color rgb="FF000000"/>
      </bottom>
    </border>
    <border diagonalUp="0" diagonalDown="0">
      <left style="none">
        <color rgb="FFC7C7C7"/>
      </left>
      <right style="thin">
        <color rgb="FF000000"/>
      </right>
      <top style="thin">
        <color rgb="FF000000"/>
      </top>
      <bottom style="none">
        <color rgb="FFC7C7C7"/>
      </bottom>
    </border>
    <border diagonalUp="0" diagonalDown="0">
      <left style="thick">
        <color rgb="FF000000"/>
      </left>
      <right style="thick">
        <color rgb="FF000000"/>
      </right>
      <top style="thick">
        <color rgb="FF000000"/>
      </top>
      <bottom style="none">
        <color rgb="FFC7C7C7"/>
      </bottom>
    </border>
    <border diagonalUp="0" diagonalDown="0">
      <left style="thick">
        <color rgb="FF000000"/>
      </left>
      <right style="thick">
        <color rgb="FF000000"/>
      </right>
      <top style="none">
        <color rgb="FFC7C7C7"/>
      </top>
      <bottom style="thick">
        <color rgb="FF000000"/>
      </bottom>
    </border>
    <border diagonalUp="0" diagonalDown="0">
      <left style="thin">
        <color rgb="FF000000"/>
      </left>
      <right style="none">
        <color rgb="FFC7C7C7"/>
      </right>
      <top style="thin">
        <color rgb="FF000000"/>
      </top>
      <bottom style="thin">
        <color rgb="FF000000"/>
      </bottom>
    </border>
    <border diagonalUp="0" diagonalDown="0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 diagonalUp="0" diagonalDown="0">
      <left style="thin">
        <color rgb="FF000000"/>
      </left>
      <right style="none">
        <color rgb="FFC7C7C7"/>
      </right>
      <top style="thin">
        <color rgb="FF000000"/>
      </top>
      <bottom style="double">
        <color rgb="FF000000"/>
      </bottom>
    </border>
    <border diagonalUp="0" diagonalDown="0"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 diagonalUp="0" diagonalDown="0">
      <left style="none">
        <color rgb="FFC7C7C7"/>
      </left>
      <right style="thin">
        <color rgb="FF000000"/>
      </right>
      <top style="thin">
        <color rgb="FF000000"/>
      </top>
      <bottom style="double">
        <color rgb="FF000000"/>
      </bottom>
    </border>
    <border diagonalUp="0" diagonalDown="0">
      <left style="none">
        <color rgb="FFC7C7C7"/>
      </left>
      <right style="thin">
        <color rgb="FF000000"/>
      </right>
      <top style="none">
        <color rgb="FFC7C7C7"/>
      </top>
      <bottom style="none">
        <color rgb="FFC7C7C7"/>
      </bottom>
    </border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double">
        <color rgb="FF000000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89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1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2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3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4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5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6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7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8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9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1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7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7" numFmtId="0" xfId="0">
      <alignment horizontal="right" vertical="bottom" wrapText="0" shrinkToFit="0" textRotation="0" indent="0"/>
      <protection locked="1" hidden="0"/>
    </xf>
    <xf applyAlignment="1" applyBorder="1" applyFont="1" applyFill="1" applyNumberFormat="1" fontId="0" fillId="0" borderId="11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12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12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13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14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2" borderId="12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3" borderId="13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15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16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11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2" borderId="7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3" borderId="11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4" borderId="7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2" borderId="11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13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17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18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2" borderId="17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3" borderId="15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5" borderId="7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5" borderId="7" numFmtId="0" xfId="0">
      <alignment horizontal="right" vertical="bottom" wrapText="0" shrinkToFit="0" textRotation="0" indent="0"/>
      <protection locked="1" hidden="0"/>
    </xf>
    <xf applyAlignment="1" applyBorder="1" applyFont="1" applyFill="1" applyNumberFormat="1" fontId="0" fillId="5" borderId="19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5" borderId="16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5" borderId="11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3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6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2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21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22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23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24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19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25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26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27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28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29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3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0" xfId="0">
      <alignment horizontal="right" vertical="bottom" wrapText="0" shrinkToFit="0" textRotation="0" indent="0"/>
      <protection locked="1" hidden="0"/>
    </xf>
    <xf applyAlignment="1" applyBorder="1" applyFont="1" applyFill="1" applyNumberFormat="1" fontId="0" fillId="0" borderId="8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0" fillId="0" borderId="9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0" fillId="0" borderId="10" numFmtId="0" xfId="0">
      <alignment horizontal="left" vertical="bottom" wrapText="0" shrinkToFit="0" textRotation="0" indent="0"/>
      <protection locked="1" hidden="0"/>
    </xf>
    <xf applyAlignment="1" applyBorder="1" applyFont="1" applyFill="1" applyNumberFormat="1" fontId="0" fillId="0" borderId="10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0" fillId="0" borderId="31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0" fillId="0" borderId="0" numFmtId="0" xfId="0">
      <alignment horizontal="left" vertical="bottom" wrapText="0" shrinkToFit="0" textRotation="0" indent="0"/>
      <protection locked="1" hidden="0"/>
    </xf>
    <xf applyAlignment="1" applyBorder="1" applyFont="1" applyFill="1" applyNumberFormat="1" fontId="0" fillId="4" borderId="12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0" fillId="0" borderId="13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0" fillId="2" borderId="32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0" fillId="0" borderId="32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0" fillId="0" borderId="33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0" fillId="0" borderId="34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0" fillId="4" borderId="7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0" fillId="0" borderId="11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0" fillId="3" borderId="32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0" fillId="0" borderId="32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33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5" borderId="34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7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35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36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4" borderId="17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0" fillId="0" borderId="15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0" fillId="3" borderId="7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8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9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37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38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39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4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41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3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42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43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IV65536"/>
  <sheetViews>
    <sheetView workbookViewId="0" zoomScale="70" tabSelected="1">
      <selection activeCell="AR28" sqref="AR28"/>
    </sheetView>
  </sheetViews>
  <sheetFormatPr defaultColWidth="48" defaultRowHeight="12.75"/>
  <cols>
    <col min="1" max="1" style="1" width="28.74112980769231" bestFit="1" customWidth="1"/>
    <col min="2" max="2" style="1" width="11.467882211538463" bestFit="1" customWidth="1"/>
    <col min="3" max="5" style="1" width="9.142307692307693"/>
    <col min="6" max="6" style="1" width="3.3731306089743596" customWidth="1"/>
    <col min="7" max="7" style="1" width="10.387947115384616" bestFit="1" customWidth="1"/>
    <col min="8" max="19" style="1" width="9.142307692307693"/>
    <col min="20" max="20" style="1" width="28.736368189102567" bestFit="1" customWidth="1"/>
    <col min="21" max="21" style="1" width="12.546864983974361" bestFit="1" customWidth="1"/>
    <col min="22" max="22" style="1" width="6.071063701923077" bestFit="1" customWidth="1"/>
    <col min="23" max="23" style="1" width="7.150363915598291" bestFit="1" customWidth="1"/>
    <col min="24" max="24" style="1" width="6.071063701923077" bestFit="1" customWidth="1"/>
    <col min="25" max="25" style="1" width="2.833163060897436" customWidth="1"/>
    <col min="26" max="26" style="1" width="10.793002136752138" customWidth="1"/>
    <col min="27" max="27" style="1" width="9.30896434294872" bestFit="1" customWidth="1"/>
    <col min="28" max="28" style="1" width="9.44387686965812" customWidth="1"/>
    <col min="29" max="29" style="1" width="9.713701923076924" customWidth="1"/>
    <col min="30" max="30" style="1" width="2.833163060897436" customWidth="1"/>
    <col min="31" max="31" style="1" width="3.9124632745726493" bestFit="1" customWidth="1"/>
    <col min="32" max="32" style="1" width="12.546864983974361" bestFit="1" customWidth="1"/>
    <col min="33" max="33" style="1" width="21.18126669337607" bestFit="1" customWidth="1"/>
    <col min="34" max="36" style="1" width="22.26056690705128" bestFit="1" customWidth="1"/>
    <col min="37" max="37" style="1" width="2.5633380074786327" customWidth="1"/>
    <col min="38" max="38" style="1" width="3.9124632745726493" bestFit="1" customWidth="1"/>
    <col min="39" max="39" style="1" width="47.457465277777786" bestFit="1" customWidth="1"/>
    <col min="40" max="40" style="1" width="2.539529914529915" customWidth="1"/>
    <col min="41" max="41" style="1" width="14.840377938034187" bestFit="1" customWidth="1"/>
    <col min="42" max="42" style="1" width="2.8909827152014653" customWidth="1"/>
    <col min="43" max="43" style="1" width="10.214805593711844" bestFit="1" customWidth="1"/>
    <col min="44" max="256" style="1" width="9.142307692307693"/>
  </cols>
  <sheetData>
    <row r="1" spans="1:256">
      <c r="A1" s="2" t="inlineStr">
        <is>
          <t>Assignment#1</t>
        </is>
      </c>
    </row>
    <row r="2" spans="1:256">
      <c r="A2" s="3" t="inlineStr">
        <is>
          <t>Probability Models</t>
        </is>
      </c>
    </row>
    <row r="3" spans="1:256">
      <c r="A3" s="3" t="inlineStr">
        <is>
          <t>Bryce Emery</t>
        </is>
      </c>
    </row>
    <row r="4" spans="1:256">
      <c r="A4" s="4" t="inlineStr">
        <is>
          <t>26-05-14</t>
        </is>
      </c>
    </row>
    <row r="5" spans="1:256">
      <c r="A5" s="5"/>
    </row>
    <row r="6" spans="1:256">
      <c r="A6" s="3" t="inlineStr">
        <is>
          <r>
            <rPr>
              <color rgb="ffff0000"/>
            </rPr>
            <t>Problem 1:</t>
          </r>
          <r>
            <rPr/>
            <t> Naive Bayes for</t>
          </r>
        </is>
      </c>
      <c r="B6" s="6" t="inlineStr">
        <is>
          <r>
            <rPr>
              <color rgb="ff3366ff"/>
            </rPr>
            <t>Model A - Support-related features</t>
          </r>
          <r>
            <rPr/>
            <t/>
          </r>
        </is>
      </c>
      <c r="C6" s="6"/>
      <c r="D6" s="6"/>
      <c r="E6" s="7"/>
      <c r="T6" s="3" t="inlineStr">
        <is>
          <r>
            <rPr>
              <color rgb="ffff0000"/>
            </rPr>
            <t>Problem 2:</t>
          </r>
          <r>
            <rPr/>
            <t/>
          </r>
        </is>
      </c>
      <c r="U6" t="inlineStr">
        <is>
          <t>Transition:</t>
        </is>
      </c>
      <c r="Z6" t="inlineStr">
        <is>
          <t>Emission:</t>
        </is>
      </c>
      <c r="AE6" t="inlineStr">
        <is>
          <t>Forward Recursion Table</t>
        </is>
      </c>
      <c r="AM6" t="inlineStr">
        <is>
          <t>Backtracking Reasoning</t>
        </is>
      </c>
      <c r="AO6" t="inlineStr">
        <is>
          <t>Ground Truth</t>
        </is>
      </c>
      <c r="AP6"/>
      <c r="AQ6" t="inlineStr">
        <is>
          <t>Correct?</t>
        </is>
      </c>
    </row>
    <row r="7" spans="1:256" ht="15.58">
      <c r="A7" s="3" t="inlineStr">
        <is>
          <t>Costumer Churn Using</t>
        </is>
      </c>
      <c r="B7" t="inlineStr">
        <is>
          <r>
            <rPr/>
            <t>(X</t>
          </r>
          <r>
            <rPr>
              <vertAlign val="subscript"/>
            </rPr>
            <t>1</t>
          </r>
          <r>
            <rPr/>
            <t> = 1)</t>
          </r>
        </is>
      </c>
      <c r="C7" t="inlineStr">
        <is>
          <t>Customer opened many support tickets last month</t>
        </is>
      </c>
      <c r="T7" s="8" t="inlineStr">
        <is>
          <t>Complete the Hidden</t>
        </is>
      </c>
      <c r="U7" s="9" t="inlineStr">
        <is>
          <t>From -&gt; To</t>
        </is>
      </c>
      <c r="V7" s="9" t="s">
        <v>0</v>
      </c>
      <c r="W7" s="9" t="s">
        <v>1</v>
      </c>
      <c r="X7" s="10" t="s">
        <v>2</v>
      </c>
      <c r="Z7" s="9" t="inlineStr">
        <is>
          <t>Weather-&gt;</t>
        </is>
      </c>
      <c r="AA7" s="11" t="inlineStr">
        <is>
          <t>Behavior</t>
        </is>
      </c>
      <c r="AB7" s="9" t="s">
        <v>3</v>
      </c>
      <c r="AC7" s="10" t="s">
        <v>4</v>
      </c>
      <c r="AE7" s="12" t="s">
        <v>5</v>
      </c>
      <c r="AF7" s="12" t="inlineStr">
        <is>
          <t>Observation</t>
        </is>
      </c>
      <c r="AG7" s="13" t="inlineStr">
        <is>
          <t>? --&gt;</t>
        </is>
      </c>
      <c r="AH7" s="12" t="s">
        <v>0</v>
      </c>
      <c r="AI7" s="12" t="s">
        <v>1</v>
      </c>
      <c r="AJ7" s="14" t="s">
        <v>2</v>
      </c>
      <c r="AL7" s="12" t="s">
        <v>5</v>
      </c>
    </row>
    <row r="8" spans="1:256" ht="15.58">
      <c r="A8" s="3" t="inlineStr">
        <is>
          <t>Observed Data</t>
        </is>
      </c>
      <c r="B8" t="inlineStr">
        <is>
          <r>
            <rPr/>
            <t>(X</t>
          </r>
          <r>
            <rPr>
              <vertAlign val="subscript"/>
            </rPr>
            <t>2</t>
          </r>
          <r>
            <rPr/>
            <t> = 1)</t>
          </r>
        </is>
      </c>
      <c r="C8" t="inlineStr">
        <is>
          <t>Customer spent a lot of time on help/FAQ pages</t>
        </is>
      </c>
      <c r="T8" s="15" t="inlineStr">
        <is>
          <t>Markov Model (HMM)</t>
        </is>
      </c>
      <c r="U8" s="16" t="s">
        <v>0</v>
      </c>
      <c r="V8" s="16">
        <v>0.33000000000000002</v>
      </c>
      <c r="W8" s="16">
        <v>0.67000000000000004</v>
      </c>
      <c r="X8" s="17">
        <v>0</v>
      </c>
      <c r="Z8" s="18"/>
      <c r="AA8" t="s">
        <v>0</v>
      </c>
      <c r="AB8" s="19">
        <f>4/4</f>
        <v>1</v>
      </c>
      <c r="AC8" s="20">
        <f>0/3</f>
        <v>0</v>
      </c>
      <c r="AE8" s="12"/>
      <c r="AF8" s="12"/>
      <c r="AG8" s="13" t="inlineStr">
        <is>
          <t>V0(?)</t>
        </is>
      </c>
      <c r="AH8" s="21">
        <f>1/3</f>
        <v>0.33333333333333331</v>
      </c>
      <c r="AI8" s="22">
        <f>1/3</f>
        <v>0.33333333333333331</v>
      </c>
      <c r="AJ8" s="14">
        <f>1/3</f>
        <v>0.33333333333333331</v>
      </c>
      <c r="AL8" s="12"/>
    </row>
    <row r="9" spans="1:256">
      <c r="A9" s="23" t="inlineStr">
        <is>
          <t>Background: You are a data</t>
        </is>
      </c>
      <c r="T9" s="15" t="inlineStr">
        <is>
          <t>Forward/Backtracking Table</t>
        </is>
      </c>
      <c r="U9" s="12" t="s">
        <v>1</v>
      </c>
      <c r="V9" s="12">
        <v>0.33000000000000002</v>
      </c>
      <c r="W9" s="12">
        <v>0</v>
      </c>
      <c r="X9" s="14">
        <v>0.67000000000000004</v>
      </c>
      <c r="Z9" s="18"/>
      <c r="AA9" s="22" t="s">
        <v>1</v>
      </c>
      <c r="AB9" s="24">
        <f>2/3</f>
        <v>0.66666666666666663</v>
      </c>
      <c r="AC9" s="25">
        <f>1/3</f>
        <v>0.33333333333333331</v>
      </c>
      <c r="AE9" s="26">
        <v>1</v>
      </c>
      <c r="AF9" s="12" t="s">
        <f>U18</f>
        <v>3</v>
      </c>
      <c r="AG9" s="13" t="s">
        <v>6</v>
      </c>
      <c r="AH9" s="19">
        <f>AB8</f>
        <v>1</v>
      </c>
      <c r="AI9" s="24">
        <f>AB9</f>
        <v>0.66666666666666663</v>
      </c>
      <c r="AJ9" s="27">
        <f>AB10</f>
        <v>0.33333333333333331</v>
      </c>
      <c r="AL9" s="26">
        <v>1</v>
      </c>
    </row>
    <row r="10" spans="1:256">
      <c r="A10" s="28" t="inlineStr">
        <is>
          <t>scientist working for a </t>
        </is>
      </c>
      <c r="B10" t="inlineStr">
        <is>
          <t>Training</t>
        </is>
      </c>
      <c r="C10" t="inlineStr">
        <is>
          <t>Dataset</t>
        </is>
      </c>
      <c r="D10" t="inlineStr">
        <is>
          <t>(Historical sample)</t>
        </is>
      </c>
      <c r="T10" s="15" t="inlineStr">
        <is>
          <t>(reference in published</t>
        </is>
      </c>
      <c r="U10" s="29" t="s">
        <v>2</v>
      </c>
      <c r="V10" s="29">
        <v>0.33000000000000002</v>
      </c>
      <c r="W10" s="29">
        <v>0.33000000000000002</v>
      </c>
      <c r="X10" s="21">
        <v>0.33000000000000002</v>
      </c>
      <c r="Z10" s="18"/>
      <c r="AA10" s="30" t="s">
        <v>2</v>
      </c>
      <c r="AB10" s="31">
        <f>1/3</f>
        <v>0.33333333333333331</v>
      </c>
      <c r="AC10" s="32">
        <f>2/3</f>
        <v>0.66666666666666663</v>
      </c>
      <c r="AE10" s="33"/>
      <c r="AF10" s="33"/>
      <c r="AG10" s="34" t="inlineStr">
        <is>
          <t>V1(?)=V0(?)*P(W|?)</t>
        </is>
      </c>
      <c r="AH10" s="35">
        <f>AH8*AH9</f>
        <v>0.33333333333333331</v>
      </c>
      <c r="AI10" s="36">
        <f>AI8*AI9</f>
        <v>0.22222222222222221</v>
      </c>
      <c r="AJ10" s="37">
        <f>AJ8*AJ9</f>
        <v>0.1111111111111111</v>
      </c>
      <c r="AL10" s="33"/>
      <c r="AM10" s="38" t="inlineStr">
        <is>
          <t>Day 1 was most likely Sunny.</t>
        </is>
      </c>
      <c r="AO10" s="38" t="s">
        <f>T18</f>
        <v>0</v>
      </c>
      <c r="AQ10" s="39" t="s">
        <v>7</v>
      </c>
    </row>
    <row r="11" spans="1:256" ht="15.58">
      <c r="A11" s="28" t="inlineStr">
        <is>
          <t>subscription-based</t>
        </is>
      </c>
      <c r="B11" s="40" t="s">
        <v>8</v>
      </c>
      <c r="C11" s="41" t="s">
        <v>9</v>
      </c>
      <c r="D11" s="41" t="s">
        <v>10</v>
      </c>
      <c r="E11" s="42" t="s">
        <v>11</v>
      </c>
      <c r="G11" s="41" t="s">
        <v>8</v>
      </c>
      <c r="H11" s="41" t="inlineStr">
        <is>
          <r>
            <rPr/>
            <t>X</t>
          </r>
          <r>
            <rPr>
              <vertAlign val="subscript"/>
            </rPr>
            <t>2</t>
          </r>
          <r>
            <rPr/>
            <t> = 1</t>
          </r>
          <r>
            <rPr/>
            <t/>
          </r>
        </is>
      </c>
      <c r="I11" s="41" t="inlineStr">
        <is>
          <r>
            <rPr/>
            <t>X</t>
          </r>
          <r>
            <rPr>
              <vertAlign val="subscript"/>
            </rPr>
            <t>2</t>
          </r>
          <r>
            <rPr/>
            <t> = 0</t>
          </r>
          <r>
            <rPr/>
            <t/>
          </r>
        </is>
      </c>
      <c r="J11" s="42" t="s">
        <v>11</v>
      </c>
      <c r="T11" s="28" t="inlineStr">
        <is>
          <t>slides on HMM) as we have</t>
        </is>
      </c>
      <c r="AE11" s="12"/>
      <c r="AF11" s="12"/>
      <c r="AG11" s="13"/>
      <c r="AH11" s="16"/>
      <c r="AI11" s="12"/>
      <c r="AJ11" s="14"/>
      <c r="AL11" s="12"/>
    </row>
    <row r="12" spans="1:256">
      <c r="A12" s="28" t="inlineStr">
        <is>
          <t>company. Your goal is to</t>
        </is>
      </c>
      <c r="B12" t="s">
        <v>12</v>
      </c>
      <c r="C12" s="43">
        <v>24</v>
      </c>
      <c r="D12" s="43">
        <v>6</v>
      </c>
      <c r="E12" s="44">
        <v>30</v>
      </c>
      <c r="G12" s="43" t="s">
        <v>12</v>
      </c>
      <c r="H12" s="43">
        <v>25</v>
      </c>
      <c r="I12" s="43">
        <v>5</v>
      </c>
      <c r="J12" s="44">
        <v>30</v>
      </c>
      <c r="T12" s="28" t="inlineStr">
        <is>
          <t>gone through in the class.</t>
        </is>
      </c>
      <c r="AE12" s="26">
        <v>2</v>
      </c>
      <c r="AF12" s="12"/>
      <c r="AG12" s="13" t="inlineStr">
        <is>
          <t>V1(S)*P(?|S)</t>
        </is>
      </c>
      <c r="AH12" s="45">
        <f>V8*AH10</f>
        <v>0.11</v>
      </c>
      <c r="AI12" s="22">
        <f>W8*AH10</f>
        <v>0.22333333333333333</v>
      </c>
      <c r="AJ12" s="14">
        <f>X8*AH10</f>
        <v>0</v>
      </c>
      <c r="AL12" s="26">
        <v>2</v>
      </c>
      <c r="AM12" t="s">
        <v>13</v>
      </c>
    </row>
    <row r="13" spans="1:256">
      <c r="A13" s="28" t="inlineStr">
        <is>
          <t>predict whethera customer</t>
        </is>
      </c>
      <c r="B13" s="46" t="s">
        <v>14</v>
      </c>
      <c r="C13" s="47">
        <v>14</v>
      </c>
      <c r="D13" s="47">
        <v>56</v>
      </c>
      <c r="E13" s="48">
        <v>70</v>
      </c>
      <c r="G13" s="49" t="inlineStr">
        <is>
          <t>Y =0</t>
        </is>
      </c>
      <c r="H13" s="49">
        <v>13</v>
      </c>
      <c r="I13" s="49">
        <v>57</v>
      </c>
      <c r="J13" s="50">
        <v>70</v>
      </c>
      <c r="T13" s="28" t="inlineStr">
        <is>
          <t>Using these transition and</t>
        </is>
      </c>
      <c r="AE13" s="12"/>
      <c r="AF13" s="12"/>
      <c r="AG13" s="13" t="inlineStr">
        <is>
          <t>V1(C)*P(?|C)</t>
        </is>
      </c>
      <c r="AH13" s="16">
        <f>AI10*V9</f>
        <v>0.073333333333333334</v>
      </c>
      <c r="AI13" s="12">
        <f>AI10*W9</f>
        <v>0</v>
      </c>
      <c r="AJ13" s="14">
        <f>AI10*X9</f>
        <v>0.14888888888888888</v>
      </c>
      <c r="AL13" s="12"/>
    </row>
    <row r="14" spans="1:256">
      <c r="A14" s="28" t="inlineStr">
        <is>
          <t>will churn (Y=1) or not</t>
        </is>
      </c>
      <c r="B14" s="30"/>
      <c r="C14" s="29"/>
      <c r="D14" s="29"/>
      <c r="E14" s="21"/>
      <c r="G14" s="29"/>
      <c r="H14" s="29"/>
      <c r="I14" s="29"/>
      <c r="J14" s="21"/>
      <c r="T14" s="51" t="inlineStr">
        <is>
          <t>emission probabilities.</t>
        </is>
      </c>
      <c r="AE14" s="12"/>
      <c r="AF14" s="12"/>
      <c r="AG14" s="13" t="inlineStr">
        <is>
          <t>V1(R)*P(?|R)</t>
        </is>
      </c>
      <c r="AH14" s="12">
        <f>AJ10*$V$10</f>
        <v>0.036666666666666667</v>
      </c>
      <c r="AI14" s="12">
        <f>AJ10*$W$10</f>
        <v>0.036666666666666667</v>
      </c>
      <c r="AJ14" s="14">
        <f>AJ10*$X$10</f>
        <v>0.036666666666666667</v>
      </c>
      <c r="AL14" s="12"/>
    </row>
    <row r="15" spans="1:256">
      <c r="A15" s="28" t="inlineStr">
        <is>
          <t>churn (Y=0) using</t>
        </is>
      </c>
      <c r="B15"/>
      <c r="AE15" s="12"/>
      <c r="AF15" s="12" t="s">
        <f>U19</f>
        <v>3</v>
      </c>
      <c r="AG15" s="13" t="inlineStr">
        <is>
          <t>P(U|?)</t>
        </is>
      </c>
      <c r="AH15" s="24">
        <f>AB8</f>
        <v>1</v>
      </c>
      <c r="AI15" s="24">
        <f>AB9</f>
        <v>0.66666666666666663</v>
      </c>
      <c r="AJ15" s="27">
        <f>AB10</f>
        <v>0.33333333333333331</v>
      </c>
      <c r="AL15" s="12"/>
      <c r="AM15" t="inlineStr">
        <is>
          <t>The most likely Day 1 to cause this was...</t>
        </is>
      </c>
    </row>
    <row r="16" spans="1:256" ht="15.58">
      <c r="A16" s="51" t="inlineStr">
        <is>
          <t>behavioral data.</t>
        </is>
      </c>
      <c r="B16" t="s">
        <v>15</v>
      </c>
      <c r="D16" t="s">
        <v>16</v>
      </c>
      <c r="E16">
        <v>1</v>
      </c>
      <c r="G16" t="s">
        <v>17</v>
      </c>
      <c r="I16" t="s">
        <v>18</v>
      </c>
      <c r="J16">
        <v>1</v>
      </c>
      <c r="S16"/>
      <c r="T16" t="inlineStr">
        <is>
          <t>Raw Data:</t>
        </is>
      </c>
      <c r="AE16" s="33"/>
      <c r="AF16" s="33"/>
      <c r="AG16" s="34" t="inlineStr">
        <is>
          <t>V2(?)=max(?)*P(U|?)</t>
        </is>
      </c>
      <c r="AH16" s="35">
        <f>MAXIFS(AH12:AH14)*AH15</f>
        <v>0.11</v>
      </c>
      <c r="AI16" s="36">
        <f>MAXIFS(AI12:AI14)*AI15</f>
        <v>0.14888888888888888</v>
      </c>
      <c r="AJ16" s="37">
        <f>MAXIFS(AJ12:AJ14)*AJ15</f>
        <v>0.049629629629629621</v>
      </c>
      <c r="AL16" s="33"/>
      <c r="AM16" s="38" t="inlineStr">
        <is>
          <t>With Day 2 most likely Sunny.</t>
        </is>
      </c>
      <c r="AO16" s="38" t="s">
        <f>T19</f>
        <v>0</v>
      </c>
      <c r="AQ16" s="39" t="s">
        <v>7</v>
      </c>
    </row>
    <row r="17" spans="1:256" ht="15.583333333333332">
      <c r="A17" s="52"/>
      <c r="B17" s="41" t="s">
        <v>8</v>
      </c>
      <c r="C17" s="41" t="s">
        <v>9</v>
      </c>
      <c r="D17" s="41" t="s">
        <v>10</v>
      </c>
      <c r="E17" s="42" t="s">
        <v>11</v>
      </c>
      <c r="G17" s="41" t="s">
        <v>8</v>
      </c>
      <c r="H17" s="41" t="s">
        <v>9</v>
      </c>
      <c r="I17" s="41" t="s">
        <v>10</v>
      </c>
      <c r="J17" s="42" t="s">
        <v>11</v>
      </c>
      <c r="S17" s="53" t="s">
        <v>5</v>
      </c>
      <c r="T17" s="54" t="inlineStr">
        <is>
          <t>Weather (Hidden State)</t>
        </is>
      </c>
      <c r="U17" s="55" t="inlineStr">
        <is>
          <t>Friend's Behavior (Observation)</t>
        </is>
      </c>
      <c r="V17" s="56"/>
      <c r="W17" s="56"/>
      <c r="X17" s="56"/>
      <c r="Y17" s="57"/>
      <c r="AE17" s="12"/>
      <c r="AF17" s="12"/>
      <c r="AG17" s="13"/>
      <c r="AH17" s="16"/>
      <c r="AI17" s="12"/>
      <c r="AJ17" s="17"/>
      <c r="AL17" s="12"/>
    </row>
    <row r="18" spans="1:256">
      <c r="A18" s="58" t="inlineStr">
        <is>
          <t>Historical Churn:</t>
        </is>
      </c>
      <c r="B18" s="43" t="s">
        <v>12</v>
      </c>
      <c r="C18" s="43">
        <f>(C12+E16)/(E12+E16*2)</f>
        <v>0.78125</v>
      </c>
      <c r="D18" s="43">
        <f>(D12+E16)/(E12+E16*2)</f>
        <v>0.21875</v>
      </c>
      <c r="E18" s="44">
        <f>SUM(C18:D18)</f>
        <v>1</v>
      </c>
      <c r="G18" s="43" t="s">
        <v>12</v>
      </c>
      <c r="H18" s="43">
        <f>(H12+J16)/(J12+J16*2)</f>
        <v>0.8125</v>
      </c>
      <c r="I18" s="43">
        <f>(I12+J16)/(J12+J16*2)</f>
        <v>0.1875</v>
      </c>
      <c r="J18" s="44">
        <f>SUM(H18:I18)</f>
        <v>1</v>
      </c>
      <c r="S18" s="59">
        <v>1</v>
      </c>
      <c r="T18" s="60" t="s">
        <v>0</v>
      </c>
      <c r="U18" s="61" t="s">
        <v>3</v>
      </c>
      <c r="V18" s="62"/>
      <c r="W18" s="62"/>
      <c r="X18" s="62"/>
      <c r="Y18" s="63"/>
      <c r="AE18" s="26">
        <v>3</v>
      </c>
      <c r="AF18" s="12"/>
      <c r="AG18" s="13" t="inlineStr">
        <is>
          <t>V2(S)*P(?|S)</t>
        </is>
      </c>
      <c r="AH18" s="12">
        <f>AH16*$V$8</f>
        <v>0.036299999999999999</v>
      </c>
      <c r="AI18" s="45">
        <f>AH16*$W$8</f>
        <v>0.073700000000000002</v>
      </c>
      <c r="AJ18" s="64">
        <f>AH16*$X$8</f>
        <v>0</v>
      </c>
      <c r="AL18" s="26">
        <v>3</v>
      </c>
      <c r="AM18" t="s">
        <v>13</v>
      </c>
    </row>
    <row r="19" spans="1:256">
      <c r="A19" s="65" t="inlineStr">
        <is>
          <t>P(Y=1) =</t>
        </is>
      </c>
      <c r="B19" s="47" t="s">
        <v>14</v>
      </c>
      <c r="C19" s="43">
        <f>(C13+E16)/(E13+E16*2)</f>
        <v>0.20833333333333334</v>
      </c>
      <c r="D19" s="43">
        <f>(D13+E16)/(E13+E16*2)</f>
        <v>0.79166666666666663</v>
      </c>
      <c r="E19" s="44">
        <f>SUM(C19:D19)</f>
        <v>1</v>
      </c>
      <c r="G19" s="47" t="s">
        <v>14</v>
      </c>
      <c r="H19" s="43">
        <f>(H13+J16)/(J13+J16*2)</f>
        <v>0.19444444444444445</v>
      </c>
      <c r="I19" s="43">
        <f>(I13+J16)/(J13+J16*2)</f>
        <v>0.80555555555555558</v>
      </c>
      <c r="J19" s="44">
        <f>SUM(H19:I19)</f>
        <v>1</v>
      </c>
      <c r="S19" s="66">
        <v>2</v>
      </c>
      <c r="T19" s="67" t="s">
        <v>0</v>
      </c>
      <c r="U19" s="61" t="s">
        <v>3</v>
      </c>
      <c r="V19" s="62"/>
      <c r="W19" s="62"/>
      <c r="X19" s="62"/>
      <c r="Y19" s="63"/>
      <c r="AE19" s="12"/>
      <c r="AF19" s="12"/>
      <c r="AG19" s="13" t="inlineStr">
        <is>
          <t>V2(C)*P(?|C)</t>
        </is>
      </c>
      <c r="AH19" s="12">
        <f>AI16*$V$9</f>
        <v>0.049133333333333334</v>
      </c>
      <c r="AI19" s="16">
        <f>AI16*$W$9</f>
        <v>0</v>
      </c>
      <c r="AJ19" s="14">
        <f>AI16*$X$9</f>
        <v>0.099755555555555556</v>
      </c>
      <c r="AL19" s="12"/>
    </row>
    <row r="20" spans="1:256">
      <c r="A20" s="65">
        <v>0.29999999999999999</v>
      </c>
      <c r="B20" s="29"/>
      <c r="C20" s="29"/>
      <c r="D20" s="29"/>
      <c r="E20" s="21"/>
      <c r="G20" s="29"/>
      <c r="H20" s="29"/>
      <c r="I20" s="29"/>
      <c r="J20" s="21"/>
      <c r="S20" s="66">
        <v>3</v>
      </c>
      <c r="T20" s="67" t="s">
        <v>1</v>
      </c>
      <c r="U20" s="61" t="s">
        <v>3</v>
      </c>
      <c r="V20" s="62"/>
      <c r="W20" s="62"/>
      <c r="X20" s="62"/>
      <c r="Y20" s="63"/>
      <c r="AE20" s="12"/>
      <c r="AF20" s="12"/>
      <c r="AG20" s="13" t="inlineStr">
        <is>
          <t>V2(R)*P(?|R)</t>
        </is>
      </c>
      <c r="AH20" s="12">
        <f>AJ16*$V$10</f>
        <v>0.016377777777777776</v>
      </c>
      <c r="AI20" s="12">
        <f>AJ16*$W$10</f>
        <v>0.016377777777777776</v>
      </c>
      <c r="AJ20" s="14">
        <f>AJ16*$X$10</f>
        <v>0.016377777777777776</v>
      </c>
      <c r="AL20" s="12"/>
    </row>
    <row r="21" spans="1:256">
      <c r="A21" s="65" t="inlineStr">
        <is>
          <t>P(Y=0) =</t>
        </is>
      </c>
      <c r="S21" s="66">
        <v>4</v>
      </c>
      <c r="T21" s="67" t="s">
        <v>2</v>
      </c>
      <c r="U21" s="68" t="s">
        <v>4</v>
      </c>
      <c r="V21" s="62"/>
      <c r="W21" s="62"/>
      <c r="X21" s="62"/>
      <c r="Y21" s="63"/>
      <c r="AE21" s="12"/>
      <c r="AF21" s="12" t="s">
        <f>U20</f>
        <v>3</v>
      </c>
      <c r="AG21" s="13" t="s">
        <v>6</v>
      </c>
      <c r="AH21" s="24">
        <f>$AB$8</f>
        <v>1</v>
      </c>
      <c r="AI21" s="24">
        <f>$AB$9</f>
        <v>0.66666666666666663</v>
      </c>
      <c r="AJ21" s="27">
        <f>$AB$10</f>
        <v>0.33333333333333331</v>
      </c>
      <c r="AL21" s="12"/>
      <c r="AM21" t="inlineStr">
        <is>
          <t>The most likely Day 2 to cause this was...</t>
        </is>
      </c>
    </row>
    <row r="22" spans="1:256">
      <c r="A22" s="65">
        <v>0.69999999999999996</v>
      </c>
      <c r="B22" s="69" t="inlineStr">
        <is>
          <r>
            <rPr>
              <color rgb="ff3366ff"/>
            </rPr>
            <t>Question A1 - Estimate Probabilities</t>
          </r>
          <r>
            <rPr/>
            <t/>
          </r>
        </is>
      </c>
      <c r="C22" s="69"/>
      <c r="E22" s="70"/>
      <c r="F22" s="70"/>
      <c r="J22"/>
      <c r="S22" s="66">
        <v>5</v>
      </c>
      <c r="T22" s="67" t="s">
        <v>0</v>
      </c>
      <c r="U22" s="61" t="s">
        <v>3</v>
      </c>
      <c r="V22" s="62"/>
      <c r="W22" s="62"/>
      <c r="X22" s="62"/>
      <c r="Y22" s="63"/>
      <c r="AE22" s="33"/>
      <c r="AF22" s="33"/>
      <c r="AG22" s="34" t="inlineStr">
        <is>
          <t>V3(?)=max(?)*P(W|?)</t>
        </is>
      </c>
      <c r="AH22" s="33">
        <f>MAXIFS(AH18:AH20)*AH21</f>
        <v>0.049133333333333334</v>
      </c>
      <c r="AI22" s="35">
        <f>MAXIFS(AI18:AI20)*AI21</f>
        <v>0.049133333333333334</v>
      </c>
      <c r="AJ22" s="71">
        <f>MAXIFS(AJ18:AJ20)*AJ21</f>
        <v>0.033251851851851852</v>
      </c>
      <c r="AL22" s="33"/>
      <c r="AM22" s="72" t="inlineStr">
        <is>
          <t>With Day 3 Most likely Cloudy.</t>
        </is>
      </c>
      <c r="AO22" s="72" t="s">
        <f>T20</f>
        <v>1</v>
      </c>
      <c r="AQ22" s="39" t="s">
        <v>7</v>
      </c>
    </row>
    <row r="23" spans="1:256" ht="15.583333333333332">
      <c r="B23" t="inlineStr">
        <is>
          <r>
            <rPr/>
            <t>P(X</t>
          </r>
          <r>
            <rPr>
              <vertAlign val="subscript"/>
            </rPr>
            <t>1</t>
          </r>
          <r>
            <rPr/>
            <t>=1 | Y=1) =</t>
          </r>
          <r>
            <rPr/>
            <t/>
          </r>
        </is>
      </c>
      <c r="D23" s="45">
        <f>C18</f>
        <v>0.78125</v>
      </c>
      <c r="E23"/>
      <c r="G23" t="inlineStr">
        <is>
          <r>
            <rPr/>
            <t>P(X</t>
          </r>
          <r>
            <rPr>
              <vertAlign val="subscript"/>
            </rPr>
            <t>2</t>
          </r>
          <r>
            <rPr/>
            <t>=1 | Y=1) =</t>
          </r>
          <r>
            <rPr/>
            <t/>
          </r>
        </is>
      </c>
      <c r="I23" s="73">
        <f>H18</f>
        <v>0.8125</v>
      </c>
      <c r="S23" s="66">
        <v>6</v>
      </c>
      <c r="T23" s="67" t="s">
        <v>1</v>
      </c>
      <c r="U23" s="68" t="s">
        <v>4</v>
      </c>
      <c r="V23" s="62"/>
      <c r="W23" s="62"/>
      <c r="X23" s="62"/>
      <c r="Y23" s="63"/>
      <c r="AE23" s="12"/>
      <c r="AF23" s="12"/>
      <c r="AG23" s="12"/>
      <c r="AH23" s="12"/>
      <c r="AI23" s="16"/>
      <c r="AJ23" s="14"/>
      <c r="AL23" s="12"/>
    </row>
    <row r="24" spans="1:256" ht="15.583333333333332">
      <c r="B24" t="inlineStr">
        <is>
          <r>
            <rPr/>
            <t>P(X</t>
          </r>
          <r>
            <rPr>
              <vertAlign val="subscript"/>
            </rPr>
            <t>1</t>
          </r>
          <r>
            <rPr/>
            <t>=1 | Y=0) =</t>
          </r>
          <r>
            <rPr/>
            <t/>
          </r>
        </is>
      </c>
      <c r="D24" s="74">
        <f>C19</f>
        <v>0.20833333333333334</v>
      </c>
      <c r="G24" t="inlineStr">
        <is>
          <r>
            <rPr/>
            <t>P(X</t>
          </r>
          <r>
            <rPr>
              <vertAlign val="subscript"/>
            </rPr>
            <t>2</t>
          </r>
          <r>
            <rPr/>
            <t>=1 | Y=0) =</t>
          </r>
          <r>
            <rPr/>
            <t/>
          </r>
        </is>
      </c>
      <c r="I24" s="45">
        <f>H19</f>
        <v>0.19444444444444445</v>
      </c>
      <c r="S24" s="66">
        <v>7</v>
      </c>
      <c r="T24" s="67" t="s">
        <v>2</v>
      </c>
      <c r="U24" s="61" t="s">
        <v>3</v>
      </c>
      <c r="V24" s="62"/>
      <c r="W24" s="62"/>
      <c r="X24" s="62"/>
      <c r="Y24" s="63"/>
      <c r="AE24" s="26">
        <v>4</v>
      </c>
      <c r="AF24" s="12"/>
      <c r="AG24" s="13" t="inlineStr">
        <is>
          <t>V3(S)*P(?|S)</t>
        </is>
      </c>
      <c r="AH24" s="12">
        <f>AH22*$V$8</f>
        <v>0.016214000000000003</v>
      </c>
      <c r="AI24" s="12">
        <f>AH22*$W$8</f>
        <v>0.032919333333333335</v>
      </c>
      <c r="AJ24" s="14">
        <f>AH22*$X$8</f>
        <v>0</v>
      </c>
      <c r="AL24" s="26">
        <v>4</v>
      </c>
    </row>
    <row r="25" spans="1:256">
      <c r="S25" s="66">
        <v>8</v>
      </c>
      <c r="T25" s="67" t="s">
        <v>2</v>
      </c>
      <c r="U25" s="68" t="s">
        <v>4</v>
      </c>
      <c r="V25" s="62"/>
      <c r="W25" s="62"/>
      <c r="X25" s="62"/>
      <c r="Y25" s="63"/>
      <c r="AE25" s="12"/>
      <c r="AF25" s="12"/>
      <c r="AG25" s="13" t="inlineStr">
        <is>
          <t>V3(C)*P(?|C)</t>
        </is>
      </c>
      <c r="AH25" s="12">
        <f>AI22*$V$9</f>
        <v>0.016214000000000003</v>
      </c>
      <c r="AI25" s="12">
        <f>AI22*$W$9</f>
        <v>0</v>
      </c>
      <c r="AJ25" s="45">
        <f>AI22*$X$9</f>
        <v>0.032919333333333335</v>
      </c>
      <c r="AL25" s="12"/>
      <c r="AM25" t="s">
        <v>19</v>
      </c>
    </row>
    <row r="26" spans="1:256">
      <c r="B26" s="69" t="inlineStr">
        <is>
          <r>
            <rPr>
              <color rgb="ff3366ff"/>
            </rPr>
            <t>Question A2 - Normalized Posterior Probabilities</t>
          </r>
          <r>
            <rPr/>
            <t/>
          </r>
        </is>
      </c>
      <c r="C26" s="69"/>
      <c r="E26" s="69"/>
      <c r="F26" s="70"/>
      <c r="S26" s="66">
        <v>9</v>
      </c>
      <c r="T26" s="67" t="s">
        <v>1</v>
      </c>
      <c r="U26" s="61" t="s">
        <v>3</v>
      </c>
      <c r="V26" s="62"/>
      <c r="W26" s="62"/>
      <c r="X26" s="62"/>
      <c r="Y26" s="63"/>
      <c r="AE26" s="12"/>
      <c r="AF26" s="12"/>
      <c r="AG26" s="13" t="inlineStr">
        <is>
          <t>V3(R)*P(?|R)</t>
        </is>
      </c>
      <c r="AH26" s="12">
        <f>AJ22*$V$10</f>
        <v>0.010973111111111112</v>
      </c>
      <c r="AI26" s="12">
        <f>AJ22*$W$10</f>
        <v>0.010973111111111112</v>
      </c>
      <c r="AJ26" s="17">
        <f>AJ22*$X$10</f>
        <v>0.010973111111111112</v>
      </c>
      <c r="AL26" s="12"/>
    </row>
    <row r="27" spans="1:256" ht="15.583333333333332">
      <c r="B27" t="inlineStr">
        <is>
          <r>
            <rPr/>
            <t>P(Y=1|X</t>
          </r>
          <r>
            <rPr>
              <vertAlign val="subscript"/>
            </rPr>
            <t>1</t>
          </r>
          <r>
            <rPr/>
            <t>=1,X</t>
          </r>
          <r>
            <rPr>
              <vertAlign val="subscript"/>
            </rPr>
            <t>2</t>
          </r>
          <r>
            <rPr/>
            <t>=1) = </t>
          </r>
          <r>
            <rPr/>
            <t/>
          </r>
        </is>
      </c>
      <c r="D27" s="73">
        <f>A20*C18*H18</f>
        <v>0.1904296875</v>
      </c>
      <c r="G27" t="inlineStr">
        <is>
          <r>
            <rPr/>
            <t>P(Y=0|X</t>
          </r>
          <r>
            <rPr>
              <vertAlign val="subscript"/>
            </rPr>
            <t>1</t>
          </r>
          <r>
            <rPr/>
            <t>=1,X</t>
          </r>
          <r>
            <rPr>
              <vertAlign val="subscript"/>
            </rPr>
            <t>2</t>
          </r>
          <r>
            <rPr/>
            <t>=1) = </t>
          </r>
          <r>
            <rPr/>
            <t/>
          </r>
        </is>
      </c>
      <c r="I27" s="73">
        <f>A22*C19*H19</f>
        <v>0.028356481481481483</v>
      </c>
      <c r="S27" s="75">
        <v>10</v>
      </c>
      <c r="T27" s="76" t="s">
        <v>0</v>
      </c>
      <c r="U27" s="61" t="s">
        <v>3</v>
      </c>
      <c r="V27" s="62"/>
      <c r="W27" s="62"/>
      <c r="X27" s="62"/>
      <c r="Y27" s="63"/>
      <c r="AE27" s="12"/>
      <c r="AF27" s="12" t="s">
        <f>U21</f>
        <v>4</v>
      </c>
      <c r="AG27" s="13" t="s">
        <v>6</v>
      </c>
      <c r="AH27" s="77">
        <f>$AC$8</f>
        <v>0</v>
      </c>
      <c r="AI27" s="77">
        <f>$AC$9</f>
        <v>0.33333333333333331</v>
      </c>
      <c r="AJ27" s="25">
        <f>$AC$10</f>
        <v>0.66666666666666663</v>
      </c>
      <c r="AL27" s="12"/>
      <c r="AM27" t="inlineStr">
        <is>
          <t>The most likely Day 3 to cause this was...</t>
        </is>
      </c>
    </row>
    <row r="28" spans="1:256">
      <c r="B28" t="s">
        <v>20</v>
      </c>
      <c r="D28" s="45">
        <f>(D27)/(D27+I27)</f>
        <v>0.8703918002975698</v>
      </c>
      <c r="G28" t="s">
        <v>20</v>
      </c>
      <c r="I28" s="45">
        <f>(I27)/(D27+I27)</f>
        <v>0.12960819970243015</v>
      </c>
      <c r="AE28" s="33"/>
      <c r="AF28" s="33"/>
      <c r="AG28" s="34" t="inlineStr">
        <is>
          <t>V4(?)=max(?)*P(W|?)</t>
        </is>
      </c>
      <c r="AH28" s="33">
        <f>MAXIFS(AH24:AH26)*AH27</f>
        <v>0</v>
      </c>
      <c r="AI28" s="33">
        <f>MAXIFS(AI24:AI26)*AI27</f>
        <v>0.010973111111111111</v>
      </c>
      <c r="AJ28" s="35">
        <f>MAXIFS(AJ24:AJ26)*AJ27</f>
        <v>0.021946222222222221</v>
      </c>
      <c r="AL28" s="33"/>
      <c r="AM28" s="78" t="inlineStr">
        <is>
          <t>With Day 4 most likely Rainy.</t>
        </is>
      </c>
      <c r="AO28" s="78" t="s">
        <f>T21</f>
        <v>2</v>
      </c>
      <c r="AQ28" s="39" t="s">
        <v>7</v>
      </c>
    </row>
    <row r="29" spans="1:256">
      <c r="AE29" s="12"/>
      <c r="AF29" s="12"/>
      <c r="AG29" s="12"/>
      <c r="AH29" s="12"/>
      <c r="AI29" s="12"/>
      <c r="AJ29" s="17"/>
      <c r="AL29" s="12"/>
    </row>
    <row r="30" spans="1:256">
      <c r="B30" t="s">
        <v>21</v>
      </c>
      <c r="AE30" s="26">
        <v>5</v>
      </c>
      <c r="AF30" s="12"/>
      <c r="AG30" s="13" t="inlineStr">
        <is>
          <t>V4(S)*P(?|S)</t>
        </is>
      </c>
      <c r="AH30" s="12">
        <f>AH28*$V$8</f>
        <v>0</v>
      </c>
      <c r="AI30" s="12">
        <f>AH28*$W$8</f>
        <v>0</v>
      </c>
      <c r="AJ30" s="14">
        <f>AH28*$X$8</f>
        <v>0</v>
      </c>
      <c r="AL30" s="26">
        <v>5</v>
      </c>
    </row>
    <row r="31" spans="1:256">
      <c r="B31" t="s">
        <v>22</v>
      </c>
      <c r="H31" t="inlineStr">
        <is>
          <t>The model does predict churn.</t>
        </is>
      </c>
      <c r="L31" t="inlineStr">
        <is>
          <t>In particular, it looks like feature one</t>
        </is>
      </c>
      <c r="AE31" s="12"/>
      <c r="AF31" s="12"/>
      <c r="AG31" s="13" t="inlineStr">
        <is>
          <t>V4(C)*P(?|C)</t>
        </is>
      </c>
      <c r="AH31" s="12">
        <f>AI28*$V$9</f>
        <v>0.0036211266666666669</v>
      </c>
      <c r="AI31" s="12">
        <f>AI28*$W$9</f>
        <v>0</v>
      </c>
      <c r="AJ31" s="14">
        <f>AI28*$X$9</f>
        <v>0.0073519844444444446</v>
      </c>
      <c r="AL31" s="12"/>
    </row>
    <row r="32" spans="1:256">
      <c r="L32" t="inlineStr">
        <is>
          <t>"Customer opened many support tickets"</t>
        </is>
      </c>
      <c r="AE32" s="12"/>
      <c r="AF32" s="12"/>
      <c r="AG32" s="13" t="inlineStr">
        <is>
          <t>V4(R)*P(?|R)</t>
        </is>
      </c>
      <c r="AH32" s="12">
        <f>AJ28*$V$10</f>
        <v>0.0072422533333333337</v>
      </c>
      <c r="AI32" s="45">
        <f>AJ28*$W$10</f>
        <v>0.0072422533333333337</v>
      </c>
      <c r="AJ32" s="64">
        <f>AJ28*$X$10</f>
        <v>0.0072422533333333337</v>
      </c>
      <c r="AL32" s="12"/>
      <c r="AM32" t="s">
        <v>23</v>
      </c>
    </row>
    <row r="33" spans="1:256">
      <c r="B33" t="s">
        <v>24</v>
      </c>
      <c r="H33" s="45">
        <f>D28</f>
        <v>0.8703918002975698</v>
      </c>
      <c r="L33" t="inlineStr">
        <is>
          <t>Appeared to have a higher contribution to</t>
        </is>
      </c>
      <c r="AE33" s="12"/>
      <c r="AF33" s="12" t="s">
        <f>U22</f>
        <v>3</v>
      </c>
      <c r="AG33" s="13" t="s">
        <v>6</v>
      </c>
      <c r="AH33" s="24">
        <f>$AB$8</f>
        <v>1</v>
      </c>
      <c r="AI33" s="19">
        <f>$AB$9</f>
        <v>0.66666666666666663</v>
      </c>
      <c r="AJ33" s="27">
        <f>$AB$10</f>
        <v>0.33333333333333331</v>
      </c>
      <c r="AL33" s="12"/>
      <c r="AM33" t="inlineStr">
        <is>
          <t>The most likely Day 4 to cause this was...</t>
        </is>
      </c>
    </row>
    <row r="34" spans="1:256">
      <c r="L34" t="inlineStr">
        <is>
          <t>the resultant prediction of churn.</t>
        </is>
      </c>
      <c r="AE34" s="33"/>
      <c r="AF34" s="33"/>
      <c r="AG34" s="34" t="inlineStr">
        <is>
          <t>V5(?)=max(?)*P(W|?)</t>
        </is>
      </c>
      <c r="AH34" s="33">
        <f>MAXIFS(AH30:AH32)*AH33</f>
        <v>0.0072422533333333337</v>
      </c>
      <c r="AI34" s="35">
        <f>MAXIFS(AI30:AI32)*AI33</f>
        <v>0.0048281688888888886</v>
      </c>
      <c r="AJ34" s="71">
        <f>MAXIFS(AJ30:AJ32)*AJ33</f>
        <v>0.0024506614814814812</v>
      </c>
      <c r="AL34" s="33"/>
      <c r="AM34" s="72" t="inlineStr">
        <is>
          <t>With Day 5 most likely Cloudy.</t>
        </is>
      </c>
      <c r="AO34" s="38" t="s">
        <f>T22</f>
        <v>0</v>
      </c>
      <c r="AQ34" s="79" t="s">
        <v>25</v>
      </c>
    </row>
    <row r="35" spans="1:256">
      <c r="B35" s="6" t="inlineStr">
        <is>
          <r>
            <rPr>
              <color rgb="ff3366ff"/>
            </rPr>
            <t>Model B - Pricing and competition features</t>
          </r>
          <r>
            <rPr/>
            <t/>
          </r>
        </is>
      </c>
      <c r="C35" s="69"/>
      <c r="D35" s="69"/>
      <c r="E35" s="69"/>
      <c r="F35" s="69"/>
      <c r="G35" s="70"/>
      <c r="AE35" s="12"/>
      <c r="AF35" s="12"/>
      <c r="AG35" s="12"/>
      <c r="AH35" s="12"/>
      <c r="AI35" s="16"/>
      <c r="AJ35" s="14"/>
      <c r="AL35" s="12"/>
    </row>
    <row r="36" spans="1:256" ht="15.583333333333332">
      <c r="B36" t="inlineStr">
        <is>
          <r>
            <rPr/>
            <t>(Z</t>
          </r>
          <r>
            <rPr>
              <vertAlign val="subscript"/>
            </rPr>
            <t>1</t>
          </r>
          <r>
            <rPr/>
            <t> = 1)</t>
          </r>
        </is>
      </c>
      <c r="C36" t="inlineStr">
        <is>
          <t>Customer changed pricing plan last month</t>
        </is>
      </c>
      <c r="AE36" s="26">
        <v>6</v>
      </c>
      <c r="AF36" s="12"/>
      <c r="AG36" s="13" t="inlineStr">
        <is>
          <t>V5(S)*P(?|S)</t>
        </is>
      </c>
      <c r="AH36" s="12">
        <f>AH34*$V$8</f>
        <v>0.0023899436</v>
      </c>
      <c r="AI36" s="12">
        <f>AH34*$W$8</f>
        <v>0.0048523097333333341</v>
      </c>
      <c r="AJ36" s="14">
        <f>AH34*$X$8</f>
        <v>0</v>
      </c>
      <c r="AL36" s="26">
        <v>6</v>
      </c>
    </row>
    <row r="37" spans="1:256" ht="15.583333333333332">
      <c r="B37" t="inlineStr">
        <is>
          <r>
            <rPr/>
            <t>(Z</t>
          </r>
          <r>
            <rPr>
              <vertAlign val="subscript"/>
            </rPr>
            <t>2</t>
          </r>
          <r>
            <rPr/>
            <t> = 1)</t>
          </r>
        </is>
      </c>
      <c r="C37" t="inlineStr">
        <is>
          <t>Customer recieved a competitor's marketing email</t>
        </is>
      </c>
      <c r="AE37" s="12"/>
      <c r="AF37" s="12"/>
      <c r="AG37" s="13" t="inlineStr">
        <is>
          <t>V5(C)*P(?|C)</t>
        </is>
      </c>
      <c r="AH37" s="12">
        <f>AI34*$V$9</f>
        <v>0.0015932957333333333</v>
      </c>
      <c r="AI37" s="12">
        <f>AI34*$W$9</f>
        <v>0</v>
      </c>
      <c r="AJ37" s="45">
        <f>AI34*$X$9</f>
        <v>0.0032348731555555555</v>
      </c>
      <c r="AL37" s="12"/>
      <c r="AM37" t="s">
        <v>19</v>
      </c>
    </row>
    <row r="38" spans="1:256">
      <c r="AE38" s="12"/>
      <c r="AF38" s="12"/>
      <c r="AG38" s="13" t="inlineStr">
        <is>
          <t>V5(R)*P(?|R)</t>
        </is>
      </c>
      <c r="AH38" s="12">
        <f>AJ34*$V$10</f>
        <v>0.00080871828888888888</v>
      </c>
      <c r="AI38" s="12">
        <f>AJ34*$W$10</f>
        <v>0.00080871828888888888</v>
      </c>
      <c r="AJ38" s="17">
        <f>AJ34*$X$10</f>
        <v>0.00080871828888888888</v>
      </c>
      <c r="AL38" s="12"/>
    </row>
    <row r="39" spans="1:256">
      <c r="B39" t="inlineStr">
        <is>
          <t>Training Dataset (Historical Sample)</t>
        </is>
      </c>
      <c r="AE39" s="12"/>
      <c r="AF39" s="12" t="s">
        <f>U23</f>
        <v>4</v>
      </c>
      <c r="AG39" s="13" t="s">
        <v>6</v>
      </c>
      <c r="AH39" s="77">
        <f>$AC$8</f>
        <v>0</v>
      </c>
      <c r="AI39" s="77">
        <f>$AC$9</f>
        <v>0.33333333333333331</v>
      </c>
      <c r="AJ39" s="25">
        <f>$AC$10</f>
        <v>0.66666666666666663</v>
      </c>
      <c r="AL39" s="12"/>
      <c r="AM39" t="inlineStr">
        <is>
          <t>The most likely Day 5 to cause this was...</t>
        </is>
      </c>
    </row>
    <row r="40" spans="1:256" ht="15.583333333333332">
      <c r="B40" s="41" t="s">
        <v>8</v>
      </c>
      <c r="C40" s="41" t="s">
        <v>26</v>
      </c>
      <c r="D40" s="41" t="s">
        <v>27</v>
      </c>
      <c r="E40" s="42" t="s">
        <v>11</v>
      </c>
      <c r="G40" s="41" t="s">
        <v>8</v>
      </c>
      <c r="H40" s="41" t="inlineStr">
        <is>
          <r>
            <rPr/>
            <t>Z</t>
          </r>
          <r>
            <rPr>
              <vertAlign val="subscript"/>
            </rPr>
            <t>2</t>
          </r>
          <r>
            <rPr/>
            <t> = 1</t>
          </r>
          <r>
            <rPr/>
            <t/>
          </r>
        </is>
      </c>
      <c r="I40" s="41" t="inlineStr">
        <is>
          <r>
            <rPr/>
            <t>Z</t>
          </r>
          <r>
            <rPr>
              <vertAlign val="subscript"/>
            </rPr>
            <t>2</t>
          </r>
          <r>
            <rPr/>
            <t> = 0</t>
          </r>
          <r>
            <rPr/>
            <t/>
          </r>
        </is>
      </c>
      <c r="J40" s="42" t="s">
        <v>11</v>
      </c>
      <c r="AE40" s="33"/>
      <c r="AF40" s="33"/>
      <c r="AG40" s="34" t="inlineStr">
        <is>
          <t>V6(?)=max(?)*P(W|?)</t>
        </is>
      </c>
      <c r="AH40" s="33">
        <f>MAXIFS(AH36:AH38)*AH39</f>
        <v>0</v>
      </c>
      <c r="AI40" s="33">
        <f>MAXIFS(AI36:AI38)*AI39</f>
        <v>0.001617436577777778</v>
      </c>
      <c r="AJ40" s="35">
        <f>MAXIFS(AJ36:AJ38)*AJ39</f>
        <v>0.0021565821037037034</v>
      </c>
      <c r="AL40" s="33"/>
      <c r="AM40" s="78" t="inlineStr">
        <is>
          <t>With Day 6 most likely Rainy.</t>
        </is>
      </c>
      <c r="AO40" s="72" t="s">
        <f>T23</f>
        <v>1</v>
      </c>
      <c r="AQ40" s="79" t="s">
        <v>25</v>
      </c>
    </row>
    <row r="41" spans="1:256">
      <c r="B41" s="43" t="s">
        <v>12</v>
      </c>
      <c r="C41" s="43">
        <v>18</v>
      </c>
      <c r="D41" s="43">
        <v>12</v>
      </c>
      <c r="E41" s="44">
        <f>SUM(C41:D41)</f>
        <v>30</v>
      </c>
      <c r="G41" s="43" t="s">
        <v>12</v>
      </c>
      <c r="H41" s="43">
        <v>15</v>
      </c>
      <c r="I41" s="43">
        <v>15</v>
      </c>
      <c r="J41" s="44">
        <f>SUM(H41:I41)</f>
        <v>30</v>
      </c>
      <c r="AE41" s="12"/>
      <c r="AF41" s="12"/>
      <c r="AG41" s="12"/>
      <c r="AH41" s="12"/>
      <c r="AI41" s="12"/>
      <c r="AJ41" s="17"/>
      <c r="AL41" s="12"/>
    </row>
    <row r="42" spans="1:256">
      <c r="B42" s="80" t="s">
        <v>14</v>
      </c>
      <c r="C42" s="80">
        <v>21</v>
      </c>
      <c r="D42" s="80">
        <v>49</v>
      </c>
      <c r="E42" s="81">
        <f>SUM(C42:D42)</f>
        <v>70</v>
      </c>
      <c r="G42" s="80" t="s">
        <v>14</v>
      </c>
      <c r="H42" s="80">
        <v>28</v>
      </c>
      <c r="I42" s="80">
        <v>42</v>
      </c>
      <c r="J42" s="81">
        <f>SUM(H42:I42)</f>
        <v>70</v>
      </c>
      <c r="AE42" s="26">
        <v>7</v>
      </c>
      <c r="AF42" s="12"/>
      <c r="AG42" s="13" t="inlineStr">
        <is>
          <t>V6(S)*P(?|S)</t>
        </is>
      </c>
      <c r="AH42" s="12">
        <f>AH40*$V$8</f>
        <v>0</v>
      </c>
      <c r="AI42" s="12">
        <f>AH40*$W$8</f>
        <v>0</v>
      </c>
      <c r="AJ42" s="14">
        <f>AH40*$X$8</f>
        <v>0</v>
      </c>
      <c r="AL42" s="26">
        <v>7</v>
      </c>
    </row>
    <row r="43" spans="1:256">
      <c r="AE43" s="12"/>
      <c r="AF43" s="12"/>
      <c r="AG43" s="13" t="inlineStr">
        <is>
          <t>V6(C)*P(?|C)</t>
        </is>
      </c>
      <c r="AH43" s="12">
        <f>AI40*$V$9</f>
        <v>0.00053375407066666674</v>
      </c>
      <c r="AI43" s="12">
        <f>AI40*$W$9</f>
        <v>0</v>
      </c>
      <c r="AJ43" s="14">
        <f>AI40*$X$9</f>
        <v>0.0010836825071111112</v>
      </c>
      <c r="AL43" s="12"/>
    </row>
    <row r="44" spans="1:256">
      <c r="B44" t="s">
        <v>15</v>
      </c>
      <c r="D44" t="s">
        <v>16</v>
      </c>
      <c r="E44">
        <v>1</v>
      </c>
      <c r="G44" t="s">
        <v>17</v>
      </c>
      <c r="I44" t="s">
        <v>18</v>
      </c>
      <c r="J44">
        <v>1</v>
      </c>
      <c r="AE44" s="12"/>
      <c r="AF44" s="12"/>
      <c r="AG44" s="13" t="inlineStr">
        <is>
          <t>V6(R)*P(?|R)</t>
        </is>
      </c>
      <c r="AH44" s="12">
        <f>AJ40*$V$10</f>
        <v>0.00071167209422222215</v>
      </c>
      <c r="AI44" s="45">
        <f>AJ40*$W$10</f>
        <v>0.00071167209422222215</v>
      </c>
      <c r="AJ44" s="64">
        <f>AJ40*$X$10</f>
        <v>0.00071167209422222215</v>
      </c>
      <c r="AL44" s="12"/>
      <c r="AM44" t="s">
        <v>23</v>
      </c>
    </row>
    <row r="45" spans="1:256" ht="15.583333333333332">
      <c r="B45" s="41" t="s">
        <v>8</v>
      </c>
      <c r="C45" s="82" t="s">
        <v>26</v>
      </c>
      <c r="D45" s="82" t="s">
        <v>27</v>
      </c>
      <c r="E45" s="83" t="s">
        <v>11</v>
      </c>
      <c r="G45" s="41" t="s">
        <v>8</v>
      </c>
      <c r="H45" s="9" t="s">
        <v>26</v>
      </c>
      <c r="I45" s="10" t="s">
        <v>27</v>
      </c>
      <c r="J45" s="84" t="s">
        <v>11</v>
      </c>
      <c r="AE45" s="12"/>
      <c r="AF45" s="12" t="s">
        <f>U24</f>
        <v>3</v>
      </c>
      <c r="AG45" s="13" t="s">
        <v>6</v>
      </c>
      <c r="AH45" s="24">
        <f>$AB$8</f>
        <v>1</v>
      </c>
      <c r="AI45" s="19">
        <f>$AB$9</f>
        <v>0.66666666666666663</v>
      </c>
      <c r="AJ45" s="27">
        <f>$AB$10</f>
        <v>0.33333333333333331</v>
      </c>
      <c r="AL45" s="12"/>
      <c r="AM45" t="inlineStr">
        <is>
          <t>The most likely Day 6 to cause this was...</t>
        </is>
      </c>
    </row>
    <row r="46" spans="1:256">
      <c r="B46" s="43" t="s">
        <v>12</v>
      </c>
      <c r="C46" s="16">
        <f>(C41+E44)/(E41+E44*2)</f>
        <v>0.59375</v>
      </c>
      <c r="D46" s="16">
        <f>(D41+E44)/(E41+E44*2)</f>
        <v>0.40625</v>
      </c>
      <c r="E46" s="17">
        <f>SUM(C46:D46)</f>
        <v>1</v>
      </c>
      <c r="G46" s="43" t="s">
        <v>12</v>
      </c>
      <c r="H46" s="18">
        <f>(H41+J44)/(J41+J44*2)</f>
        <v>0.5</v>
      </c>
      <c r="I46" s="85">
        <f>(I41+J44)/(J41+J44*2)</f>
        <v>0.5</v>
      </c>
      <c r="J46" s="86">
        <f>SUM(H46:I46)</f>
        <v>1</v>
      </c>
      <c r="AE46" s="33"/>
      <c r="AF46" s="33"/>
      <c r="AG46" s="34" t="inlineStr">
        <is>
          <t>V7(?)=max(?)*P(W|?)</t>
        </is>
      </c>
      <c r="AH46" s="33">
        <f>MAXIFS(AH42:AH44)*AH45</f>
        <v>0.00071167209422222215</v>
      </c>
      <c r="AI46" s="35">
        <f>MAXIFS(AI42:AI44)*AI45</f>
        <v>0.00047444806281481475</v>
      </c>
      <c r="AJ46" s="71">
        <f>MAXIFS(AJ42:AJ44)*AJ45</f>
        <v>0.00036122750237037039</v>
      </c>
      <c r="AL46" s="33"/>
      <c r="AM46" s="72" t="inlineStr">
        <is>
          <t>With Day 7 most likely Cloudy.</t>
        </is>
      </c>
      <c r="AO46" s="78" t="s">
        <f>T24</f>
        <v>2</v>
      </c>
      <c r="AQ46" s="79" t="s">
        <v>25</v>
      </c>
    </row>
    <row r="47" spans="1:256">
      <c r="B47" s="80" t="s">
        <v>14</v>
      </c>
      <c r="C47" s="29">
        <f>(C42+E44)/(E42+E44*2)</f>
        <v>0.30555555555555558</v>
      </c>
      <c r="D47" s="29">
        <f>(D42+E44)/(E42+E44*2)</f>
        <v>0.69444444444444442</v>
      </c>
      <c r="E47" s="21">
        <f>SUM(C47:D47)</f>
        <v>1</v>
      </c>
      <c r="G47" s="80" t="s">
        <v>14</v>
      </c>
      <c r="H47" s="18">
        <f>(H42+J44)/(J42+J44*2)</f>
        <v>0.40277777777777779</v>
      </c>
      <c r="I47" s="18">
        <f>(I42+J44)/(J42+J44*2)</f>
        <v>0.59722222222222221</v>
      </c>
      <c r="J47" s="21">
        <f>SUM(H47:I47)</f>
        <v>1</v>
      </c>
      <c r="AE47" s="29"/>
      <c r="AF47" s="29"/>
      <c r="AG47" s="29"/>
      <c r="AH47" s="29"/>
      <c r="AI47" s="18"/>
      <c r="AJ47" s="21"/>
      <c r="AL47" s="29"/>
    </row>
    <row r="48" spans="1:256">
      <c r="AE48" s="26">
        <v>8</v>
      </c>
      <c r="AF48" s="12"/>
      <c r="AG48" s="13" t="inlineStr">
        <is>
          <t>V7(S)*P(?|S)</t>
        </is>
      </c>
      <c r="AH48" s="12">
        <f>AH46*$V$8</f>
        <v>0.00023485179109333332</v>
      </c>
      <c r="AI48" s="12">
        <f>AH46*$W$8</f>
        <v>0.00047682030312888888</v>
      </c>
      <c r="AJ48" s="14">
        <f>AH46*$X$8</f>
        <v>0</v>
      </c>
      <c r="AL48" s="26">
        <v>8</v>
      </c>
    </row>
    <row r="49" spans="1:256">
      <c r="B49" s="69" t="inlineStr">
        <is>
          <r>
            <rPr>
              <color rgb="ff3366ff"/>
            </rPr>
            <t>Question B1 - Estimate probabilities</t>
          </r>
          <r>
            <rPr/>
            <t/>
          </r>
        </is>
      </c>
      <c r="C49" s="69"/>
      <c r="D49" s="69"/>
      <c r="E49" s="69"/>
      <c r="F49" s="70"/>
      <c r="AE49" s="12"/>
      <c r="AF49" s="12"/>
      <c r="AG49" s="13" t="inlineStr">
        <is>
          <t>V7(C)*P(?|C)</t>
        </is>
      </c>
      <c r="AH49" s="12">
        <f>AI46*$V$9</f>
        <v>0.00015656786072888889</v>
      </c>
      <c r="AI49" s="12">
        <f>AI46*$W$9</f>
        <v>0</v>
      </c>
      <c r="AJ49" s="45">
        <f>AI46*$X$9</f>
        <v>0.00031788020208592589</v>
      </c>
      <c r="AL49" s="12"/>
      <c r="AM49" t="s">
        <v>19</v>
      </c>
    </row>
    <row r="50" spans="1:256" ht="15.583333333333332">
      <c r="B50" t="inlineStr">
        <is>
          <r>
            <rPr/>
            <t>P(Z</t>
          </r>
          <r>
            <rPr>
              <vertAlign val="subscript"/>
            </rPr>
            <t>1</t>
          </r>
          <r>
            <rPr/>
            <t>=1 | Y=1) =</t>
          </r>
          <r>
            <rPr/>
            <t/>
          </r>
        </is>
      </c>
      <c r="D50" s="45">
        <f>C46</f>
        <v>0.59375</v>
      </c>
      <c r="G50" t="inlineStr">
        <is>
          <r>
            <rPr/>
            <t>P(Z</t>
          </r>
          <r>
            <rPr>
              <vertAlign val="subscript"/>
            </rPr>
            <t>2</t>
          </r>
          <r>
            <rPr/>
            <t>=1 | Y=1) =</t>
          </r>
          <r>
            <rPr/>
            <t/>
          </r>
        </is>
      </c>
      <c r="I50" s="73">
        <f>H46</f>
        <v>0.5</v>
      </c>
      <c r="AE50" s="12"/>
      <c r="AF50" s="12"/>
      <c r="AG50" s="13" t="inlineStr">
        <is>
          <t>V7(R)*P(?|R)</t>
        </is>
      </c>
      <c r="AH50" s="12">
        <f>AJ46*$V$10</f>
        <v>0.00011920507578222223</v>
      </c>
      <c r="AI50" s="12">
        <f>AJ46*$W$10</f>
        <v>0.00011920507578222223</v>
      </c>
      <c r="AJ50" s="17">
        <f>AJ46*$X$10</f>
        <v>0.00011920507578222223</v>
      </c>
      <c r="AL50" s="12"/>
    </row>
    <row r="51" spans="1:256" ht="15.583333333333332">
      <c r="B51" t="inlineStr">
        <is>
          <r>
            <rPr/>
            <t>P(Z</t>
          </r>
          <r>
            <rPr>
              <vertAlign val="subscript"/>
            </rPr>
            <t>1</t>
          </r>
          <r>
            <rPr/>
            <t>=1 | Y=0) =</t>
          </r>
          <r>
            <rPr/>
            <t/>
          </r>
        </is>
      </c>
      <c r="D51" s="74">
        <f>C47</f>
        <v>0.30555555555555558</v>
      </c>
      <c r="G51" t="inlineStr">
        <is>
          <r>
            <rPr/>
            <t>P(Z</t>
          </r>
          <r>
            <rPr>
              <vertAlign val="subscript"/>
            </rPr>
            <t>2</t>
          </r>
          <r>
            <rPr/>
            <t>=1 | Y=0) =</t>
          </r>
          <r>
            <rPr/>
            <t/>
          </r>
        </is>
      </c>
      <c r="I51" s="45">
        <f>H47</f>
        <v>0.40277777777777779</v>
      </c>
      <c r="AE51" s="12"/>
      <c r="AF51" s="12" t="s">
        <f>U25</f>
        <v>4</v>
      </c>
      <c r="AG51" s="13" t="s">
        <v>6</v>
      </c>
      <c r="AH51" s="77">
        <f>$AC$8</f>
        <v>0</v>
      </c>
      <c r="AI51" s="77">
        <f>$AC$9</f>
        <v>0.33333333333333331</v>
      </c>
      <c r="AJ51" s="25">
        <f>$AC$10</f>
        <v>0.66666666666666663</v>
      </c>
      <c r="AL51" s="12"/>
      <c r="AM51" t="inlineStr">
        <is>
          <t>The most likely Day 7 to cause this was...</t>
        </is>
      </c>
    </row>
    <row r="52" spans="1:256">
      <c r="AE52" s="33"/>
      <c r="AF52" s="33"/>
      <c r="AG52" s="34" t="inlineStr">
        <is>
          <t>V8(?)=max(?)*P(W|?)</t>
        </is>
      </c>
      <c r="AH52" s="33">
        <f>MAXIFS(AH48:AH50)*AH51</f>
        <v>0</v>
      </c>
      <c r="AI52" s="33">
        <f>MAXIFS(AI48:AI50)*AI51</f>
        <v>0.00015894010104296294</v>
      </c>
      <c r="AJ52" s="35">
        <f>MAXIFS(AJ48:AJ50)*AJ51</f>
        <v>0.00021192013472395057</v>
      </c>
      <c r="AL52" s="33"/>
      <c r="AM52" s="78" t="inlineStr">
        <is>
          <t>With Day 8 Most likely Rainy</t>
        </is>
      </c>
      <c r="AO52" s="78" t="s">
        <f>T25</f>
        <v>2</v>
      </c>
      <c r="AQ52" s="39" t="s">
        <v>7</v>
      </c>
    </row>
    <row r="53" spans="1:256">
      <c r="B53" s="69" t="inlineStr">
        <is>
          <r>
            <rPr>
              <color rgb="ff3366ff"/>
            </rPr>
            <t>Question B2 - Posterior probabilities</t>
          </r>
          <r>
            <rPr/>
            <t/>
          </r>
        </is>
      </c>
      <c r="C53" s="69"/>
      <c r="D53" s="69"/>
      <c r="E53" s="69"/>
      <c r="F53" s="70"/>
      <c r="AE53" s="29"/>
      <c r="AF53" s="29"/>
      <c r="AG53" s="29"/>
      <c r="AH53" s="29"/>
      <c r="AI53" s="29"/>
      <c r="AJ53" s="85"/>
      <c r="AL53" s="29"/>
    </row>
    <row r="54" spans="1:256" ht="15.583333333333332">
      <c r="B54" t="inlineStr">
        <is>
          <r>
            <rPr/>
            <t>P(Y=1|Z</t>
          </r>
          <r>
            <rPr>
              <vertAlign val="subscript"/>
            </rPr>
            <t>1</t>
          </r>
          <r>
            <rPr/>
            <t>=1,Z</t>
          </r>
          <r>
            <rPr>
              <vertAlign val="subscript"/>
            </rPr>
            <t>2</t>
          </r>
          <r>
            <rPr/>
            <t>=1) = </t>
          </r>
          <r>
            <rPr/>
            <t/>
          </r>
        </is>
      </c>
      <c r="D54" s="73">
        <f>A20*C46*H46</f>
        <v>0.089062500000000003</v>
      </c>
      <c r="G54" t="inlineStr">
        <is>
          <r>
            <rPr/>
            <t>P(Y=0|Z</t>
          </r>
          <r>
            <rPr>
              <vertAlign val="subscript"/>
            </rPr>
            <t>1</t>
          </r>
          <r>
            <rPr/>
            <t>=1,Z</t>
          </r>
          <r>
            <rPr>
              <vertAlign val="subscript"/>
            </rPr>
            <t>2</t>
          </r>
          <r>
            <rPr/>
            <t>=1) = </t>
          </r>
          <r>
            <rPr/>
            <t/>
          </r>
        </is>
      </c>
      <c r="I54" s="73">
        <f>A22*C47*H47</f>
        <v>0.086149691358024708</v>
      </c>
      <c r="AE54" s="26">
        <v>9</v>
      </c>
      <c r="AF54" s="12"/>
      <c r="AG54" s="13" t="inlineStr">
        <is>
          <t>V8(S)*P(?|S)</t>
        </is>
      </c>
      <c r="AH54" s="12">
        <f>AH52*$V$8</f>
        <v>0</v>
      </c>
      <c r="AI54" s="12">
        <f>AH52*$W$8</f>
        <v>0</v>
      </c>
      <c r="AJ54" s="14">
        <f>AH52*$X$8</f>
        <v>0</v>
      </c>
      <c r="AL54" s="26">
        <v>9</v>
      </c>
    </row>
    <row r="55" spans="1:256">
      <c r="B55" t="s">
        <v>20</v>
      </c>
      <c r="D55" s="45">
        <f>(D54)/(D54+I54)</f>
        <v>0.50831223164152806</v>
      </c>
      <c r="G55" t="s">
        <v>20</v>
      </c>
      <c r="I55" s="45">
        <f>(I54)/(D54+I54)</f>
        <v>0.49168776835847189</v>
      </c>
      <c r="AE55" s="12"/>
      <c r="AF55" s="12"/>
      <c r="AG55" s="13" t="inlineStr">
        <is>
          <t>V8(C)*P(?|C)</t>
        </is>
      </c>
      <c r="AH55" s="12">
        <f>AI52*$V$9</f>
        <v>5.2450233344177776e-05</v>
      </c>
      <c r="AI55" s="12">
        <f>AI52*$W$9</f>
        <v>0</v>
      </c>
      <c r="AJ55" s="14">
        <f>AI52*$X$9</f>
        <v>0.00010648986769878518</v>
      </c>
      <c r="AL55" s="12"/>
    </row>
    <row r="56" spans="1:256">
      <c r="R56" s="87"/>
      <c r="AE56" s="12"/>
      <c r="AF56" s="12"/>
      <c r="AG56" s="13" t="inlineStr">
        <is>
          <t>V8(R)*P(?|R)</t>
        </is>
      </c>
      <c r="AH56" s="45">
        <f>AJ52*$V$10</f>
        <v>6.9933644458903692e-05</v>
      </c>
      <c r="AI56" s="22">
        <f>AJ52*$W$10</f>
        <v>6.9933644458903692e-05</v>
      </c>
      <c r="AJ56" s="14">
        <f>AJ52*$X$10</f>
        <v>6.9933644458903692e-05</v>
      </c>
      <c r="AL56" s="12"/>
      <c r="AM56" t="s">
        <v>23</v>
      </c>
    </row>
    <row r="57" spans="1:256">
      <c r="B57" s="69" t="s">
        <v>21</v>
      </c>
      <c r="C57" s="69"/>
      <c r="D57" s="70"/>
      <c r="AE57" s="12"/>
      <c r="AF57" s="12" t="s">
        <f>U26</f>
        <v>3</v>
      </c>
      <c r="AG57" s="13" t="s">
        <v>6</v>
      </c>
      <c r="AH57" s="19">
        <f>$AB$8</f>
        <v>1</v>
      </c>
      <c r="AI57" s="24">
        <f>$AB$9</f>
        <v>0.66666666666666663</v>
      </c>
      <c r="AJ57" s="27">
        <f>$AB$10</f>
        <v>0.33333333333333331</v>
      </c>
      <c r="AL57" s="12"/>
      <c r="AM57" t="s">
        <v>28</v>
      </c>
    </row>
    <row r="58" spans="1:256">
      <c r="B58" t="s">
        <v>22</v>
      </c>
      <c r="H58" t="inlineStr">
        <is>
          <t>The model very slightly predicts churn. </t>
        </is>
      </c>
      <c r="M58" t="inlineStr">
        <is>
          <t>The predicted difference between outcomes is &lt; 1%</t>
        </is>
      </c>
      <c r="AE58" s="33"/>
      <c r="AF58" s="33"/>
      <c r="AG58" s="34" t="inlineStr">
        <is>
          <t>V9(?)=max(?)*P(W|?)</t>
        </is>
      </c>
      <c r="AH58" s="35">
        <f>MAXIFS(AH54:AH56)*AH57</f>
        <v>6.9933644458903692e-05</v>
      </c>
      <c r="AI58" s="36">
        <f>MAXIFS(AI54:AI56)*AI57</f>
        <v>4.6622429639269123e-05</v>
      </c>
      <c r="AJ58" s="37">
        <f>MAXIFS(AJ54:AJ56)*AJ57</f>
        <v>3.5496622566261727e-05</v>
      </c>
      <c r="AL58" s="33"/>
      <c r="AM58" s="38" t="inlineStr">
        <is>
          <t>With Day 9 most likely Sunny</t>
        </is>
      </c>
      <c r="AO58" s="72" t="s">
        <f>T26</f>
        <v>1</v>
      </c>
      <c r="AQ58" s="79" t="s">
        <v>25</v>
      </c>
    </row>
    <row r="59" spans="1:256">
      <c r="H59" t="inlineStr">
        <is>
          <t>I would argue not enough to say with confidence.</t>
        </is>
      </c>
      <c r="AE59" s="29"/>
      <c r="AF59" s="29"/>
      <c r="AG59" s="29"/>
      <c r="AH59" s="18"/>
      <c r="AI59" s="12"/>
      <c r="AJ59" s="21"/>
      <c r="AL59" s="29"/>
    </row>
    <row r="60" spans="1:256">
      <c r="B60" t="s">
        <v>24</v>
      </c>
      <c r="H60" s="45">
        <f>D55</f>
        <v>0.50831223164152806</v>
      </c>
      <c r="AE60" s="26">
        <v>10</v>
      </c>
      <c r="AF60" s="12"/>
      <c r="AG60" s="13" t="inlineStr">
        <is>
          <t>V9(S)*P(?|S)</t>
        </is>
      </c>
      <c r="AH60" s="12">
        <f>AH58*$V$8</f>
        <v>2.307810267143822e-05</v>
      </c>
      <c r="AI60" s="45">
        <f>AH58*$W$8</f>
        <v>4.6855541787465475e-05</v>
      </c>
      <c r="AJ60" s="64">
        <f>AH58*$X$8</f>
        <v>0</v>
      </c>
      <c r="AL60" s="26">
        <v>10</v>
      </c>
      <c r="AM60" t="inlineStr">
        <is>
          <t>It was sunny.</t>
        </is>
      </c>
    </row>
    <row r="61" spans="1:256">
      <c r="AE61" s="12"/>
      <c r="AF61" s="12"/>
      <c r="AG61" s="13" t="inlineStr">
        <is>
          <t>V9(C)*P(?|C)</t>
        </is>
      </c>
      <c r="AH61" s="12">
        <f>AI58*$V$9</f>
        <v>1.538540178095881e-05</v>
      </c>
      <c r="AI61" s="16">
        <f>AI58*$W$9</f>
        <v>0</v>
      </c>
      <c r="AJ61" s="14">
        <f>AI58*$X$9</f>
        <v>3.1237027858310317e-05</v>
      </c>
      <c r="AL61" s="12"/>
    </row>
    <row r="62" spans="1:256">
      <c r="B62" s="69" t="inlineStr">
        <is>
          <r>
            <rPr>
              <color rgb="ff3366ff"/>
            </rPr>
            <t>Model comparison and interpretation</t>
          </r>
          <r>
            <rPr/>
            <t/>
          </r>
        </is>
      </c>
      <c r="C62" s="69"/>
      <c r="D62" s="69"/>
      <c r="E62" s="70"/>
      <c r="AE62" s="12"/>
      <c r="AF62" s="12"/>
      <c r="AG62" s="13" t="inlineStr">
        <is>
          <t>V9(R)*P(?|R)</t>
        </is>
      </c>
      <c r="AH62" s="12">
        <f>AJ58*$V$10</f>
        <v>1.171388544686637e-05</v>
      </c>
      <c r="AI62" s="12">
        <f>AJ58*$W$10</f>
        <v>1.171388544686637e-05</v>
      </c>
      <c r="AJ62" s="14">
        <f>AJ58*$X$10</f>
        <v>1.171388544686637e-05</v>
      </c>
      <c r="AL62" s="12"/>
    </row>
    <row r="63" spans="1:256">
      <c r="B63" s="69" t="inlineStr">
        <is>
          <t>1. "Why are the predicted churn probabilities so different?"</t>
        </is>
      </c>
      <c r="C63" s="69"/>
      <c r="D63" s="69"/>
      <c r="E63" s="69"/>
      <c r="F63" s="69"/>
      <c r="G63" s="69"/>
      <c r="H63" s="69"/>
      <c r="J63" s="69" t="inlineStr">
        <is>
          <t>2. "Which model's prediction is more trustworthy? Why?"</t>
        </is>
      </c>
      <c r="K63" s="69"/>
      <c r="L63" s="69"/>
      <c r="M63" s="69"/>
      <c r="N63" s="69"/>
      <c r="O63" s="69"/>
      <c r="P63" s="69"/>
      <c r="AE63" s="12"/>
      <c r="AF63" s="12" t="s">
        <f>U27</f>
        <v>3</v>
      </c>
      <c r="AG63" s="13" t="s">
        <v>6</v>
      </c>
      <c r="AH63" s="24">
        <f>$AB$8</f>
        <v>1</v>
      </c>
      <c r="AI63" s="24">
        <f>$AB$9</f>
        <v>0.66666666666666663</v>
      </c>
      <c r="AJ63" s="27">
        <f>$AB$10</f>
        <v>0.33333333333333331</v>
      </c>
      <c r="AL63" s="12"/>
      <c r="AM63" t="inlineStr">
        <is>
          <t>The most likely Day 9 to cause this was...</t>
        </is>
      </c>
      <c r="AN63"/>
    </row>
    <row r="64" spans="1:256">
      <c r="B64" t="inlineStr">
        <is>
          <t>Because they used very different feature sets which showed</t>
        </is>
      </c>
      <c r="J64" t="inlineStr">
        <is>
          <t>Model A is more trustworthy due to it's much greater difference</t>
        </is>
      </c>
      <c r="AE64" s="33"/>
      <c r="AF64" s="33"/>
      <c r="AG64" s="34" t="inlineStr">
        <is>
          <t>V10(?)=max(?)*P(W|?)</t>
        </is>
      </c>
      <c r="AH64" s="33">
        <f>MAXIFS(AH60:AH62)*AH63</f>
        <v>2.307810267143822e-05</v>
      </c>
      <c r="AI64" s="35">
        <f>MAXIFS(AI60:AI62)*AI63</f>
        <v>3.1237027858310317e-05</v>
      </c>
      <c r="AJ64" s="71">
        <f>MAXIFS(AJ60:AJ62)*AJ63</f>
        <v>1.0412342619436772e-05</v>
      </c>
      <c r="AL64" s="33"/>
      <c r="AM64" s="72" t="inlineStr">
        <is>
          <t>Day Ten was most likely Cloudy</t>
        </is>
      </c>
      <c r="AO64" s="38" t="s">
        <f>T27</f>
        <v>0</v>
      </c>
      <c r="AQ64" s="79" t="s">
        <v>25</v>
      </c>
    </row>
    <row r="65" spans="1:256">
      <c r="B65" t="inlineStr">
        <is>
          <t>for lesser differentiation on churn when or when not</t>
        </is>
      </c>
      <c r="J65" t="inlineStr">
        <is>
          <t>between churn and not churn probabilities across the same </t>
        </is>
      </c>
      <c r="AE65" s="29"/>
      <c r="AF65" s="29"/>
      <c r="AG65" s="29"/>
      <c r="AH65" s="29"/>
      <c r="AI65" s="18"/>
      <c r="AJ65" s="21"/>
      <c r="AL65" s="29"/>
    </row>
    <row r="66" spans="1:256">
      <c r="B66" t="inlineStr">
        <is>
          <t>present. This resulted in model A having a much greater</t>
        </is>
      </c>
      <c r="J66" t="inlineStr">
        <is>
          <t>feature presence.</t>
        </is>
      </c>
    </row>
    <row r="67" spans="1:256">
      <c r="B67" t="inlineStr">
        <is>
          <t>difference between the probabilities between churn and</t>
        </is>
      </c>
      <c r="J67" t="inlineStr">
        <is>
          <t>Compare, a predicted probability of ~0.87, versus ~0.51.</t>
        </is>
      </c>
    </row>
    <row r="68" spans="1:256">
      <c r="B68" t="inlineStr">
        <is>
          <t>no churn.</t>
        </is>
      </c>
      <c r="J68" t="inlineStr">
        <is>
          <t>The latter is essentially a coinflip.</t>
        </is>
      </c>
    </row>
    <row r="69" spans="1:256"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</row>
    <row r="70" spans="1:256">
      <c r="A70" s="0"/>
      <c r="B70" s="0"/>
      <c r="C70" s="0"/>
      <c r="D70" s="0"/>
      <c r="E70" s="0"/>
      <c r="F70" s="0"/>
      <c r="G70" s="0"/>
      <c r="H70" s="0"/>
      <c r="I70" s="0"/>
      <c r="J70" s="0"/>
    </row>
    <row r="71" spans="1:256">
      <c r="A71" s="0"/>
      <c r="B71" s="0"/>
      <c r="C71" s="0"/>
      <c r="D71" s="0"/>
      <c r="E71" s="0"/>
      <c r="F71" s="0"/>
      <c r="G71" s="0"/>
      <c r="H71" s="0"/>
      <c r="I71" s="0"/>
      <c r="J71" s="0"/>
    </row>
    <row r="72" spans="1:256">
      <c r="A72" s="0"/>
      <c r="B72" s="0"/>
      <c r="C72" s="0"/>
      <c r="D72" s="0"/>
      <c r="E72" s="0"/>
      <c r="F72" s="0"/>
      <c r="G72" s="0"/>
      <c r="H72" s="0"/>
      <c r="I72" s="0"/>
      <c r="J72" s="0"/>
    </row>
    <row r="73" spans="1:256">
      <c r="A73" s="0"/>
      <c r="B73" s="0"/>
      <c r="C73" s="0"/>
      <c r="D73" s="0"/>
      <c r="E73" s="0"/>
      <c r="F73" s="0"/>
      <c r="G73" s="0"/>
      <c r="H73" s="0"/>
      <c r="I73" s="0"/>
      <c r="J73" s="0"/>
    </row>
    <row r="74" spans="1:256">
      <c r="A74" s="0"/>
      <c r="B74" s="0"/>
      <c r="C74" s="0"/>
      <c r="D74" s="0"/>
      <c r="E74" s="0"/>
      <c r="F74" s="0"/>
      <c r="G74" s="0"/>
      <c r="H74" s="0"/>
      <c r="I74" s="0"/>
      <c r="J74" s="0"/>
    </row>
    <row r="75" spans="1:256">
      <c r="A75" s="0"/>
      <c r="B75" s="0"/>
      <c r="C75" s="0"/>
      <c r="D75" s="0"/>
      <c r="E75" s="0"/>
      <c r="F75" s="0"/>
      <c r="G75" s="0"/>
      <c r="H75" s="0"/>
      <c r="I75" s="0"/>
      <c r="J75" s="0"/>
    </row>
    <row r="76" spans="1:256">
      <c r="A76" s="0"/>
      <c r="B76" s="0"/>
      <c r="C76" s="0"/>
      <c r="D76" s="0"/>
      <c r="E76" s="0"/>
      <c r="F76" s="0"/>
      <c r="G76" s="0"/>
      <c r="H76" s="0"/>
      <c r="I76" s="0"/>
      <c r="J76" s="0"/>
    </row>
    <row r="77" spans="1:256">
      <c r="A77" s="0"/>
      <c r="B77" s="0"/>
      <c r="C77" s="0"/>
      <c r="D77" s="0"/>
      <c r="E77" s="0"/>
      <c r="F77" s="0"/>
      <c r="G77" s="0"/>
      <c r="H77" s="0"/>
      <c r="I77" s="0"/>
      <c r="J77" s="0"/>
    </row>
    <row r="78" spans="1:256">
      <c r="A78" s="0"/>
      <c r="B78" s="0"/>
      <c r="C78" s="0"/>
      <c r="D78" s="0"/>
      <c r="E78" s="0"/>
      <c r="F78" s="0"/>
      <c r="G78" s="0"/>
      <c r="H78" s="0"/>
      <c r="I78" s="0"/>
      <c r="J78" s="0"/>
    </row>
    <row r="79" spans="1:256">
      <c r="A79" s="0"/>
      <c r="B79" s="0"/>
      <c r="C79" s="0"/>
      <c r="D79" s="0"/>
      <c r="E79" s="0"/>
      <c r="F79" s="0"/>
      <c r="G79" s="0"/>
      <c r="H79" s="0"/>
      <c r="I79" s="0"/>
      <c r="J79" s="0"/>
    </row>
    <row r="80" spans="1:256">
      <c r="A80" s="0"/>
      <c r="B80" s="0"/>
      <c r="C80" s="0"/>
      <c r="D80" s="0"/>
      <c r="E80" s="0"/>
      <c r="F80" s="0"/>
      <c r="G80" s="0"/>
      <c r="H80" s="0"/>
      <c r="I80" s="0"/>
      <c r="J80" s="0"/>
    </row>
    <row r="65535" spans="1:256">
      <c r="A65535" s="0"/>
      <c r="B65535" s="0"/>
      <c r="C65535" s="0"/>
      <c r="D65535" s="0"/>
      <c r="E65535" s="0"/>
      <c r="F65535" s="0"/>
      <c r="G65535" s="0"/>
      <c r="H65535" s="0"/>
      <c r="I65535" s="0"/>
      <c r="J65535" s="0"/>
      <c r="K65535" s="0"/>
      <c r="L65535" s="0"/>
      <c r="M65535" s="0"/>
      <c r="N65535" s="0"/>
      <c r="O65535" s="0"/>
      <c r="P65535" s="0"/>
      <c r="Q65535" s="0"/>
      <c r="R65535" s="0"/>
      <c r="S65535" s="0"/>
      <c r="T65535" s="0"/>
      <c r="U65535" s="0"/>
      <c r="V65535" s="0"/>
      <c r="W65535" s="0"/>
      <c r="X65535" s="0"/>
      <c r="Y65535" s="0"/>
      <c r="Z65535" s="0"/>
      <c r="AA65535" s="0"/>
      <c r="AB65535" s="0"/>
      <c r="AC65535" s="0"/>
      <c r="AD65535" s="0"/>
      <c r="AE65535" s="0"/>
      <c r="AF65535" s="0"/>
      <c r="AG65535" s="0"/>
      <c r="AH65535" s="0"/>
      <c r="AI65535" s="0"/>
      <c r="AJ65535" s="0"/>
      <c r="AK65535" s="0"/>
      <c r="AL65535" s="0"/>
      <c r="AM65535" s="0"/>
      <c r="AN65535" s="0"/>
      <c r="AO65535" s="0"/>
      <c r="AP65535" s="0"/>
      <c r="AQ65535" s="0"/>
      <c r="AR65535" s="0"/>
      <c r="AS65535" s="0"/>
      <c r="AT65535" s="0"/>
      <c r="AU65535" s="0"/>
      <c r="AV65535" s="0"/>
      <c r="AW65535" s="0"/>
      <c r="AX65535" s="0"/>
      <c r="AY65535" s="0"/>
      <c r="AZ65535" s="0"/>
      <c r="BA65535" s="0"/>
      <c r="BB65535" s="0"/>
      <c r="BC65535" s="0"/>
      <c r="BD65535" s="0"/>
      <c r="BE65535" s="0"/>
      <c r="BF65535" s="0"/>
      <c r="BG65535" s="0"/>
      <c r="BH65535" s="0"/>
      <c r="BI65535" s="0"/>
      <c r="BJ65535" s="0"/>
      <c r="BK65535" s="0"/>
      <c r="BL65535" s="0"/>
      <c r="BM65535" s="0"/>
      <c r="BN65535" s="0"/>
      <c r="BO65535" s="0"/>
      <c r="BP65535" s="0"/>
      <c r="BQ65535" s="0"/>
      <c r="BR65535" s="0"/>
      <c r="BS65535" s="0"/>
      <c r="BT65535" s="0"/>
      <c r="BU65535" s="0"/>
      <c r="BV65535" s="0"/>
      <c r="BW65535" s="0"/>
      <c r="BX65535" s="0"/>
      <c r="BY65535" s="0"/>
      <c r="BZ65535" s="0"/>
      <c r="CA65535" s="0"/>
      <c r="CB65535" s="0"/>
      <c r="CC65535" s="0"/>
      <c r="CD65535" s="0"/>
      <c r="CE65535" s="0"/>
      <c r="CF65535" s="0"/>
      <c r="CG65535" s="0"/>
      <c r="CH65535" s="0"/>
      <c r="CI65535" s="0"/>
      <c r="CJ65535" s="0"/>
      <c r="CK65535" s="0"/>
      <c r="CL65535" s="0"/>
      <c r="CM65535" s="0"/>
      <c r="CN65535" s="0"/>
      <c r="CO65535" s="0"/>
      <c r="CP65535" s="0"/>
      <c r="CQ65535" s="0"/>
      <c r="CR65535" s="0"/>
      <c r="CS65535" s="0"/>
      <c r="CT65535" s="0"/>
      <c r="CU65535" s="0"/>
      <c r="CV65535" s="0"/>
      <c r="CW65535" s="0"/>
      <c r="CX65535" s="0"/>
      <c r="CY65535" s="0"/>
      <c r="CZ65535" s="0"/>
      <c r="DA65535" s="0"/>
      <c r="DB65535" s="0"/>
      <c r="DC65535" s="0"/>
      <c r="DD65535" s="0"/>
      <c r="DE65535" s="0"/>
      <c r="DF65535" s="0"/>
      <c r="DG65535" s="0"/>
      <c r="DH65535" s="0"/>
      <c r="DI65535" s="0"/>
      <c r="DJ65535" s="0"/>
      <c r="DK65535" s="0"/>
      <c r="DL65535" s="0"/>
      <c r="DM65535" s="0"/>
      <c r="DN65535" s="0"/>
      <c r="DO65535" s="0"/>
      <c r="DP65535" s="0"/>
      <c r="DQ65535" s="0"/>
      <c r="DR65535" s="0"/>
      <c r="DS65535" s="0"/>
      <c r="DT65535" s="0"/>
      <c r="DU65535" s="0"/>
      <c r="DV65535" s="0"/>
      <c r="DW65535" s="0"/>
      <c r="DX65535" s="0"/>
      <c r="DY65535" s="0"/>
      <c r="DZ65535" s="0"/>
      <c r="EA65535" s="0"/>
      <c r="EB65535" s="0"/>
      <c r="EC65535" s="0"/>
      <c r="ED65535" s="0"/>
      <c r="EE65535" s="0"/>
      <c r="EF65535" s="0"/>
      <c r="EG65535" s="0"/>
      <c r="EH65535" s="0"/>
      <c r="EI65535" s="0"/>
      <c r="EJ65535" s="0"/>
      <c r="EK65535" s="0"/>
      <c r="EL65535" s="0"/>
      <c r="EM65535" s="0"/>
      <c r="EN65535" s="0"/>
      <c r="EO65535" s="0"/>
      <c r="EP65535" s="0"/>
      <c r="EQ65535" s="0"/>
      <c r="ER65535" s="0"/>
      <c r="ES65535" s="0"/>
      <c r="ET65535" s="0"/>
      <c r="EU65535" s="0"/>
      <c r="EV65535" s="0"/>
      <c r="EW65535" s="0"/>
      <c r="EX65535" s="0"/>
      <c r="EY65535" s="0"/>
      <c r="EZ65535" s="0"/>
      <c r="FA65535" s="0"/>
      <c r="FB65535" s="0"/>
      <c r="FC65535" s="0"/>
      <c r="FD65535" s="0"/>
      <c r="FE65535" s="0"/>
      <c r="FF65535" s="0"/>
      <c r="FG65535" s="0"/>
      <c r="FH65535" s="0"/>
      <c r="FI65535" s="0"/>
      <c r="FJ65535" s="0"/>
      <c r="FK65535" s="0"/>
      <c r="FL65535" s="0"/>
      <c r="FM65535" s="0"/>
      <c r="FN65535" s="0"/>
      <c r="FO65535" s="0"/>
      <c r="FP65535" s="0"/>
      <c r="FQ65535" s="0"/>
      <c r="FR65535" s="0"/>
      <c r="FS65535" s="0"/>
      <c r="FT65535" s="0"/>
      <c r="FU65535" s="0"/>
      <c r="FV65535" s="0"/>
      <c r="FW65535" s="0"/>
      <c r="FX65535" s="0"/>
      <c r="FY65535" s="0"/>
      <c r="FZ65535" s="0"/>
      <c r="GA65535" s="0"/>
      <c r="GB65535" s="0"/>
      <c r="GC65535" s="0"/>
      <c r="GD65535" s="0"/>
      <c r="GE65535" s="0"/>
      <c r="GF65535" s="0"/>
      <c r="GG65535" s="0"/>
      <c r="GH65535" s="0"/>
      <c r="GI65535" s="0"/>
      <c r="GJ65535" s="0"/>
      <c r="GK65535" s="0"/>
      <c r="GL65535" s="0"/>
      <c r="GM65535" s="0"/>
      <c r="GN65535" s="0"/>
      <c r="GO65535" s="0"/>
      <c r="GP65535" s="0"/>
      <c r="GQ65535" s="0"/>
      <c r="GR65535" s="0"/>
      <c r="GS65535" s="0"/>
      <c r="GT65535" s="0"/>
      <c r="GU65535" s="0"/>
      <c r="GV65535" s="0"/>
      <c r="GW65535" s="0"/>
      <c r="GX65535" s="0"/>
      <c r="GY65535" s="0"/>
      <c r="GZ65535" s="0"/>
      <c r="HA65535" s="0"/>
      <c r="HB65535" s="0"/>
      <c r="HC65535" s="0"/>
      <c r="HD65535" s="0"/>
      <c r="HE65535" s="0"/>
      <c r="HF65535" s="0"/>
      <c r="HG65535" s="0"/>
      <c r="HH65535" s="0"/>
      <c r="HI65535" s="0"/>
      <c r="HJ65535" s="0"/>
      <c r="HK65535" s="0"/>
      <c r="HL65535" s="0"/>
      <c r="HM65535" s="0"/>
      <c r="HN65535" s="0"/>
      <c r="HO65535" s="0"/>
      <c r="HP65535" s="0"/>
      <c r="HQ65535" s="0"/>
      <c r="HR65535" s="0"/>
      <c r="HS65535" s="0"/>
      <c r="HT65535" s="0"/>
      <c r="HU65535" s="0"/>
      <c r="HV65535" s="0"/>
      <c r="HW65535" s="0"/>
      <c r="HX65535" s="0"/>
      <c r="HY65535" s="0"/>
      <c r="HZ65535" s="0"/>
      <c r="IA65535" s="0"/>
      <c r="IB65535" s="0"/>
      <c r="IC65535" s="0"/>
      <c r="ID65535" s="0"/>
      <c r="IE65535" s="0"/>
      <c r="IF65535" s="0"/>
      <c r="IG65535" s="0"/>
      <c r="IH65535" s="0"/>
      <c r="II65535" s="0"/>
      <c r="IJ65535" s="0"/>
      <c r="IK65535" s="0"/>
      <c r="IL65535" s="0"/>
      <c r="IM65535" s="0"/>
      <c r="IN65535" s="0"/>
      <c r="IO65535" s="0"/>
      <c r="IP65535" s="0"/>
      <c r="IQ65535" s="0"/>
      <c r="IR65535" s="0"/>
      <c r="IS65535" s="0"/>
      <c r="IT65535" s="0"/>
      <c r="IU65535" s="0"/>
      <c r="IV65535" s="0"/>
    </row>
    <row r="65536" spans="1:256">
      <c r="A65536" s="0"/>
      <c r="B65536" s="0"/>
      <c r="C65536" s="0"/>
      <c r="D65536" s="0"/>
      <c r="E65536" s="0"/>
      <c r="F65536" s="0"/>
      <c r="G65536" s="0"/>
      <c r="H65536" s="0"/>
      <c r="I65536" s="0"/>
      <c r="J65536" s="0"/>
      <c r="K65536" s="0"/>
      <c r="L65536" s="0"/>
      <c r="M65536" s="0"/>
      <c r="N65536" s="0"/>
      <c r="O65536" s="0"/>
      <c r="P65536" s="0"/>
      <c r="Q65536" s="0"/>
      <c r="R65536" s="0"/>
      <c r="S65536" s="0"/>
      <c r="T65536" s="0"/>
      <c r="U65536" s="0"/>
      <c r="V65536" s="0"/>
      <c r="W65536" s="0"/>
      <c r="X65536" s="0"/>
      <c r="Y65536" s="0"/>
      <c r="Z65536" s="0"/>
      <c r="AA65536" s="0"/>
      <c r="AB65536" s="0"/>
      <c r="AC65536" s="0"/>
      <c r="AD65536" s="0"/>
      <c r="AE65536" s="0"/>
      <c r="AF65536" s="0"/>
      <c r="AG65536" s="0"/>
      <c r="AH65536" s="0"/>
      <c r="AI65536" s="0"/>
      <c r="AJ65536" s="0"/>
      <c r="AK65536" s="0"/>
      <c r="AL65536" s="0"/>
      <c r="AM65536" s="0"/>
      <c r="AN65536" s="0"/>
      <c r="AO65536" s="0"/>
      <c r="AP65536" s="0"/>
      <c r="AQ65536" s="0"/>
      <c r="AR65536" s="0"/>
      <c r="AS65536" s="0"/>
      <c r="AT65536" s="0"/>
      <c r="AU65536" s="0"/>
      <c r="AV65536" s="0"/>
      <c r="AW65536" s="0"/>
      <c r="AX65536" s="0"/>
      <c r="AY65536" s="0"/>
      <c r="AZ65536" s="0"/>
      <c r="BA65536" s="0"/>
      <c r="BB65536" s="0"/>
      <c r="BC65536" s="0"/>
      <c r="BD65536" s="0"/>
      <c r="BE65536" s="0"/>
      <c r="BF65536" s="0"/>
      <c r="BG65536" s="0"/>
      <c r="BH65536" s="0"/>
      <c r="BI65536" s="0"/>
      <c r="BJ65536" s="0"/>
      <c r="BK65536" s="0"/>
      <c r="BL65536" s="0"/>
      <c r="BM65536" s="0"/>
      <c r="BN65536" s="0"/>
      <c r="BO65536" s="0"/>
      <c r="BP65536" s="0"/>
      <c r="BQ65536" s="0"/>
      <c r="BR65536" s="0"/>
      <c r="BS65536" s="0"/>
      <c r="BT65536" s="0"/>
      <c r="BU65536" s="0"/>
      <c r="BV65536" s="0"/>
      <c r="BW65536" s="0"/>
      <c r="BX65536" s="0"/>
      <c r="BY65536" s="0"/>
      <c r="BZ65536" s="0"/>
      <c r="CA65536" s="0"/>
      <c r="CB65536" s="0"/>
      <c r="CC65536" s="0"/>
      <c r="CD65536" s="0"/>
      <c r="CE65536" s="0"/>
      <c r="CF65536" s="0"/>
      <c r="CG65536" s="0"/>
      <c r="CH65536" s="0"/>
      <c r="CI65536" s="0"/>
      <c r="CJ65536" s="0"/>
      <c r="CK65536" s="0"/>
      <c r="CL65536" s="0"/>
      <c r="CM65536" s="0"/>
      <c r="CN65536" s="0"/>
      <c r="CO65536" s="0"/>
      <c r="CP65536" s="0"/>
      <c r="CQ65536" s="0"/>
      <c r="CR65536" s="0"/>
      <c r="CS65536" s="0"/>
      <c r="CT65536" s="0"/>
      <c r="CU65536" s="0"/>
      <c r="CV65536" s="0"/>
      <c r="CW65536" s="0"/>
      <c r="CX65536" s="0"/>
      <c r="CY65536" s="0"/>
      <c r="CZ65536" s="0"/>
      <c r="DA65536" s="0"/>
      <c r="DB65536" s="0"/>
      <c r="DC65536" s="0"/>
      <c r="DD65536" s="0"/>
      <c r="DE65536" s="0"/>
      <c r="DF65536" s="0"/>
      <c r="DG65536" s="0"/>
      <c r="DH65536" s="0"/>
      <c r="DI65536" s="0"/>
      <c r="DJ65536" s="0"/>
      <c r="DK65536" s="0"/>
      <c r="DL65536" s="0"/>
      <c r="DM65536" s="0"/>
      <c r="DN65536" s="0"/>
      <c r="DO65536" s="0"/>
      <c r="DP65536" s="0"/>
      <c r="DQ65536" s="0"/>
      <c r="DR65536" s="0"/>
      <c r="DS65536" s="0"/>
      <c r="DT65536" s="0"/>
      <c r="DU65536" s="0"/>
      <c r="DV65536" s="0"/>
      <c r="DW65536" s="0"/>
      <c r="DX65536" s="0"/>
      <c r="DY65536" s="0"/>
      <c r="DZ65536" s="0"/>
      <c r="EA65536" s="0"/>
      <c r="EB65536" s="0"/>
      <c r="EC65536" s="0"/>
      <c r="ED65536" s="0"/>
      <c r="EE65536" s="0"/>
      <c r="EF65536" s="0"/>
      <c r="EG65536" s="0"/>
      <c r="EH65536" s="0"/>
      <c r="EI65536" s="0"/>
      <c r="EJ65536" s="0"/>
      <c r="EK65536" s="0"/>
      <c r="EL65536" s="0"/>
      <c r="EM65536" s="0"/>
      <c r="EN65536" s="0"/>
      <c r="EO65536" s="0"/>
      <c r="EP65536" s="0"/>
      <c r="EQ65536" s="0"/>
      <c r="ER65536" s="0"/>
      <c r="ES65536" s="0"/>
      <c r="ET65536" s="0"/>
      <c r="EU65536" s="0"/>
      <c r="EV65536" s="0"/>
      <c r="EW65536" s="0"/>
      <c r="EX65536" s="0"/>
      <c r="EY65536" s="0"/>
      <c r="EZ65536" s="0"/>
      <c r="FA65536" s="0"/>
      <c r="FB65536" s="0"/>
      <c r="FC65536" s="0"/>
      <c r="FD65536" s="0"/>
      <c r="FE65536" s="0"/>
      <c r="FF65536" s="0"/>
      <c r="FG65536" s="0"/>
      <c r="FH65536" s="0"/>
      <c r="FI65536" s="0"/>
      <c r="FJ65536" s="0"/>
      <c r="FK65536" s="0"/>
      <c r="FL65536" s="0"/>
      <c r="FM65536" s="0"/>
      <c r="FN65536" s="0"/>
      <c r="FO65536" s="0"/>
      <c r="FP65536" s="0"/>
      <c r="FQ65536" s="0"/>
      <c r="FR65536" s="0"/>
      <c r="FS65536" s="0"/>
      <c r="FT65536" s="0"/>
      <c r="FU65536" s="0"/>
      <c r="FV65536" s="0"/>
      <c r="FW65536" s="0"/>
      <c r="FX65536" s="0"/>
      <c r="FY65536" s="0"/>
      <c r="FZ65536" s="0"/>
      <c r="GA65536" s="0"/>
      <c r="GB65536" s="0"/>
      <c r="GC65536" s="0"/>
      <c r="GD65536" s="0"/>
      <c r="GE65536" s="0"/>
      <c r="GF65536" s="0"/>
      <c r="GG65536" s="0"/>
      <c r="GH65536" s="0"/>
      <c r="GI65536" s="0"/>
      <c r="GJ65536" s="0"/>
      <c r="GK65536" s="0"/>
      <c r="GL65536" s="0"/>
      <c r="GM65536" s="0"/>
      <c r="GN65536" s="0"/>
      <c r="GO65536" s="0"/>
      <c r="GP65536" s="0"/>
      <c r="GQ65536" s="0"/>
      <c r="GR65536" s="0"/>
      <c r="GS65536" s="0"/>
      <c r="GT65536" s="0"/>
      <c r="GU65536" s="0"/>
      <c r="GV65536" s="0"/>
      <c r="GW65536" s="0"/>
      <c r="GX65536" s="0"/>
      <c r="GY65536" s="0"/>
      <c r="GZ65536" s="0"/>
      <c r="HA65536" s="0"/>
      <c r="HB65536" s="0"/>
      <c r="HC65536" s="0"/>
      <c r="HD65536" s="0"/>
      <c r="HE65536" s="0"/>
      <c r="HF65536" s="0"/>
      <c r="HG65536" s="0"/>
      <c r="HH65536" s="0"/>
      <c r="HI65536" s="0"/>
      <c r="HJ65536" s="0"/>
      <c r="HK65536" s="0"/>
      <c r="HL65536" s="0"/>
      <c r="HM65536" s="0"/>
      <c r="HN65536" s="0"/>
      <c r="HO65536" s="0"/>
      <c r="HP65536" s="0"/>
      <c r="HQ65536" s="0"/>
      <c r="HR65536" s="0"/>
      <c r="HS65536" s="0"/>
      <c r="HT65536" s="0"/>
      <c r="HU65536" s="0"/>
      <c r="HV65536" s="0"/>
      <c r="HW65536" s="0"/>
      <c r="HX65536" s="0"/>
      <c r="HY65536" s="0"/>
      <c r="HZ65536" s="0"/>
      <c r="IA65536" s="0"/>
      <c r="IB65536" s="0"/>
      <c r="IC65536" s="0"/>
      <c r="ID65536" s="0"/>
      <c r="IE65536" s="0"/>
      <c r="IF65536" s="0"/>
      <c r="IG65536" s="0"/>
      <c r="IH65536" s="0"/>
      <c r="II65536" s="0"/>
      <c r="IJ65536" s="0"/>
      <c r="IK65536" s="0"/>
      <c r="IL65536" s="0"/>
      <c r="IM65536" s="0"/>
      <c r="IN65536" s="0"/>
      <c r="IO65536" s="0"/>
      <c r="IP65536" s="0"/>
      <c r="IQ65536" s="0"/>
      <c r="IR65536" s="0"/>
      <c r="IS65536" s="0"/>
      <c r="IT65536" s="0"/>
      <c r="IU65536" s="0"/>
      <c r="IV65536" s="0"/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1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1.1260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modified xsi:type="dcterms:W3CDTF">2026-05-16T10:37:36Z</dcterms:modified>
  <dcterms:created xsi:type="dcterms:W3CDTF">2026-05-15T02:16:28Z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